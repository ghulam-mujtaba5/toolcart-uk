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ad40f1b14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9f5d0966d0fb4f3a"/>
    <x:sheet xmlns:r="http://schemas.openxmlformats.org/officeDocument/2006/relationships" name="UnitEconomics" sheetId="2" r:id="Rd8ffd6aab7cd43e2"/>
    <x:sheet xmlns:r="http://schemas.openxmlformats.org/officeDocument/2006/relationships" name="Growth" sheetId="3" r:id="Re42d75fae258447d"/>
    <x:sheet xmlns:r="http://schemas.openxmlformats.org/officeDocument/2006/relationships" name="OperatingCosts" sheetId="4" r:id="R5784a43bfe724337"/>
    <x:sheet xmlns:r="http://schemas.openxmlformats.org/officeDocument/2006/relationships" name="SourceCatalog" sheetId="5" r:id="Rbe16b2311b4e4d40"/>
    <x:sheet xmlns:r="http://schemas.openxmlformats.org/officeDocument/2006/relationships" name="Sources" sheetId="6" r:id="R664d33ac1b7e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£#,##0.00;[Red](£#,##0.00);-"/>
    <x:numFmt numFmtId="201" formatCode="0.0%"/>
    <x:numFmt numFmtId="202" formatCode="0%"/>
    <x:numFmt numFmtId="203" formatCode="£#,##0.00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0"/>
      </x:patternFill>
    </x:fill>
    <x:fill>
      <x:patternFill patternType="solid">
        <x:fgColor rgb="FFFFF6C9"/>
      </x:patternFill>
    </x:fill>
    <x:fill>
      <x:patternFill patternType="solid">
        <x:fgColor rgb="FFD9F5E6"/>
      </x:patternFill>
    </x:fill>
    <x:fill>
      <x:patternFill patternType="solid">
        <x:fgColor rgb="FF20455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2" fontId="2" fillId="3" borderId="0" xfId="0" applyNumberFormat="1" applyFont="1" applyFill="1" applyBorder="1"/>
    <x:xf numFmtId="202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1a5a202a0404e" /><Relationship Type="http://schemas.openxmlformats.org/officeDocument/2006/relationships/theme" Target="/xl/theme/theme1.xml" Id="R91e8ee672d26478c" /><Relationship Type="http://schemas.openxmlformats.org/officeDocument/2006/relationships/sharedStrings" Target="/xl/sharedStrings.xml" Id="Rd9bf85007b2b491f" /><Relationship Type="http://schemas.openxmlformats.org/officeDocument/2006/relationships/worksheet" Target="/xl/worksheets/sheet1.xml" Id="R9f5d0966d0fb4f3a" /><Relationship Type="http://schemas.openxmlformats.org/officeDocument/2006/relationships/worksheet" Target="/xl/worksheets/sheet2.xml" Id="Rd8ffd6aab7cd43e2" /><Relationship Type="http://schemas.openxmlformats.org/officeDocument/2006/relationships/worksheet" Target="/xl/worksheets/sheet3.xml" Id="Re42d75fae258447d" /><Relationship Type="http://schemas.openxmlformats.org/officeDocument/2006/relationships/worksheet" Target="/xl/worksheets/sheet4.xml" Id="R5784a43bfe724337" /><Relationship Type="http://schemas.openxmlformats.org/officeDocument/2006/relationships/worksheet" Target="/xl/worksheets/sheet5.xml" Id="Rbe16b2311b4e4d40" /><Relationship Type="http://schemas.openxmlformats.org/officeDocument/2006/relationships/worksheet" Target="/xl/worksheets/sheet6.xml" Id="R664d33ac1b7e4b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9" hidden="0" customWidth="1"/>
    <x:col min="3" max="3" width="72" hidden="0" customWidth="1"/>
  </x:cols>
  <x:sheetData>
    <x:row r="1" ht="30" customHeight="1">
      <x:c r="A1" s="3" t="str">
        <x:v>SUPPLIER-FIRST UK HARDWARE — PLANNING ASSUMPTIONS</x:v>
      </x:c>
      <x:c r="B1"/>
      <x:c r="C1"/>
      <x:c r="D1"/>
      <x:c r="E1"/>
    </x:row>
    <x:row r="3">
      <x:c r="A3" t="str">
        <x:v>VAT registered model</x:v>
      </x:c>
      <x:c r="B3" s="6" t="str">
        <x:v>YES</x:v>
      </x:c>
      <x:c r="C3" t="str">
        <x:v>If not VAT registered, recalculate manually with accountant; this model assumes recoverable input VAT.</x:v>
      </x:c>
    </x:row>
    <x:row r="4">
      <x:c r="A4" t="str">
        <x:v>VAT rate</x:v>
      </x:c>
      <x:c r="B4" s="28" t="n">
        <x:v>0.2</x:v>
      </x:c>
      <x:c r="C4" t="str">
        <x:v>Illustrative standard-rated UK products; actual product tax treatment must be verified</x:v>
      </x:c>
    </x:row>
    <x:row r="5">
      <x:c r="A5" t="str">
        <x:v>Average product basket inc VAT (£)</x:v>
      </x:c>
      <x:c r="B5" s="8" t="n">
        <x:v>25</x:v>
      </x:c>
      <x:c r="C5" t="str">
        <x:v>Editable planning assumption; not observed orders</x:v>
      </x:c>
    </x:row>
    <x:row r="6">
      <x:c r="A6" t="str">
        <x:v>Customer-paid delivery inc VAT (£)</x:v>
      </x:c>
      <x:c r="B6" s="8" t="n">
        <x:v>3.95</x:v>
      </x:c>
      <x:c r="C6" t="str">
        <x:v>Editable assumption; VAT treatment for shipping varies</x:v>
      </x:c>
    </x:row>
    <x:row r="7">
      <x:c r="A7" t="str">
        <x:v>Product COGS as % of ex-VAT product revenue</x:v>
      </x:c>
      <x:c r="B7" s="28" t="n">
        <x:v>0.5</x:v>
      </x:c>
      <x:c r="C7" t="str">
        <x:v>Planning assumption; use actual supplier costs when available</x:v>
      </x:c>
    </x:row>
    <x:row r="8">
      <x:c r="A8" t="str">
        <x:v>Supplier outbound carriage ex VAT (£)</x:v>
      </x:c>
      <x:c r="B8" s="8" t="n">
        <x:v>4.5</x:v>
      </x:c>
      <x:c r="C8" t="str">
        <x:v>Unverified supplier direct-shipping quote</x:v>
      </x:c>
    </x:row>
    <x:row r="9">
      <x:c r="A9" t="str">
        <x:v>Supplier pick/pack per order ex VAT (£)</x:v>
      </x:c>
      <x:c r="B9" s="8" t="n">
        <x:v>0.6</x:v>
      </x:c>
      <x:c r="C9" t="str">
        <x:v>Unverified; must ask supplier</x:v>
      </x:c>
    </x:row>
    <x:row r="10">
      <x:c r="A10" t="str">
        <x:v>Customer payment fee % of total gross</x:v>
      </x:c>
      <x:c r="B10" s="30" t="n">
        <x:v>0.015</x:v>
      </x:c>
      <x:c r="C10" t="str">
        <x:v>Stripe standard UK card pricing; other cards/methods differ</x:v>
      </x:c>
    </x:row>
    <x:row r="11">
      <x:c r="A11" t="str">
        <x:v>Customer payment fixed fee (£)</x:v>
      </x:c>
      <x:c r="B11" s="8" t="n">
        <x:v>0.2</x:v>
      </x:c>
      <x:c r="C11" t="str">
        <x:v>Stripe standard UK card pricing</x:v>
      </x:c>
    </x:row>
    <x:row r="12">
      <x:c r="A12" t="str">
        <x:v>Return/warranty allowance % net product revenue</x:v>
      </x:c>
      <x:c r="B12" s="30" t="n">
        <x:v>0.03</x:v>
      </x:c>
      <x:c r="C12" t="str">
        <x:v>Planning assumption; not real observed return data</x:v>
      </x:c>
    </x:row>
    <x:row r="13">
      <x:c r="A13" t="str">
        <x:v>Customer acquisition cost (£/order)</x:v>
      </x:c>
      <x:c r="B13" s="8" t="n">
        <x:v>3.5</x:v>
      </x:c>
      <x:c r="C13" t="str">
        <x:v>Planning assumption; test organic or ads</x:v>
      </x:c>
    </x:row>
    <x:row r="14">
      <x:c r="A14" t="str">
        <x:v>Other support/ops variable cost (£/order)</x:v>
      </x:c>
      <x:c r="B14" s="8" t="n">
        <x:v>0.3</x:v>
      </x:c>
      <x:c r="C14" t="str">
        <x:v>Planning assumption, excludes owner salary</x:v>
      </x:c>
    </x:row>
    <x:row r="15">
      <x:c r="A15" t="str">
        <x:v>Number of fulfilment parcels/order</x:v>
      </x:c>
      <x:c r="B15" s="8" t="n">
        <x:v>1</x:v>
      </x:c>
      <x:c r="C15" t="str">
        <x:v>If multiple suppliers ship separately, raise this</x:v>
      </x:c>
    </x:row>
    <x:row r="16">
      <x:c r="A16" t="str">
        <x:v>Fixed monthly overhead (£)</x:v>
      </x:c>
      <x:c r="B16" s="8" t="n">
        <x:v>200</x:v>
      </x:c>
      <x:c r="C16" t="str">
        <x:v>Planning estimate, verify real bills; excludes owner salary and tax</x:v>
      </x:c>
    </x:row>
    <x:row r="17">
      <x:c r="A17" t="str">
        <x:v>Gross item basket target profit (£)</x:v>
      </x:c>
      <x:c r="B17" s="8" t="n">
        <x:v>4</x:v>
      </x:c>
      <x:c r="C17" t="str">
        <x:v>Your desired net contribution per order; adjust</x:v>
      </x:c>
    </x:row>
    <x:row r="20">
      <x:c r="A20" t="str">
        <x:v>Interpretation</x:v>
      </x:c>
      <x:c r="B20" t="str">
        <x:v>All currency fields GBP</x:v>
      </x:c>
      <x:c r="C20" t="str">
        <x:v>Source/limitations</x:v>
      </x:c>
      <x:c r="D20" t="str">
        <x:v>2026-10-12</x:v>
      </x:c>
    </x:row>
    <x:row r="21">
      <x:c r="A21" t="str">
        <x:v>Supplier quote date</x:v>
      </x:c>
      <x:c r="B21" t="str">
        <x:v>2026-10-09</x:v>
      </x:c>
      <x:c r="C21" t="str">
        <x:v>Quote does not prove on-demand stock, dispatch fees or dropship eligibility.</x:v>
      </x:c>
    </x:row>
    <x:row r="22">
      <x:c r="A22" t="str">
        <x:v>Source costs</x:v>
      </x:c>
      <x:c r="B22" t="str">
        <x:v>Quote EXP05155</x:v>
      </x:c>
      <x:c r="C22" t="str">
        <x:v>115 lines, £1567.95 ex VAT; individual costs in SourceCatalog sheet.</x:v>
      </x:c>
    </x:row>
    <x:row r="23">
      <x:c r="A23" t="str">
        <x:v>Model status</x:v>
      </x:c>
      <x:c r="B23" t="str">
        <x:v>PROVISIONAL</x:v>
      </x:c>
      <x:c r="C23" t="str">
        <x:v>No guarantee of sales, volume, conversion or supplier costs.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35" hidden="0" customWidth="1"/>
  </x:cols>
  <x:sheetData>
    <x:row r="1" ht="30" customHeight="1">
      <x:c r="A1" s="3" t="str">
        <x:v>UNIT ECONOMICS — VAT REGISTERED SELLER</x:v>
      </x:c>
      <x:c r="B1"/>
      <x:c r="C1"/>
    </x:row>
    <x:row r="3">
      <x:c r="A3" t="str">
        <x:v>Customer product total incl VAT</x:v>
      </x:c>
      <x:c r="B3" s="18" t="n">
        <x:f>Inputs!B5</x:f>
        <x:v>25</x:v>
      </x:c>
    </x:row>
    <x:row r="4">
      <x:c r="A4" t="str">
        <x:v>Customer delivery revenue incl VAT</x:v>
      </x:c>
      <x:c r="B4" s="18" t="n">
        <x:f>Inputs!B6</x:f>
        <x:v>3.95</x:v>
      </x:c>
    </x:row>
    <x:row r="5">
      <x:c r="A5" t="str">
        <x:v>Customer payment gross</x:v>
      </x:c>
      <x:c r="B5" s="18" t="n">
        <x:f>B3+B4</x:f>
        <x:v>28.95</x:v>
      </x:c>
    </x:row>
    <x:row r="6">
      <x:c r="A6" t="str">
        <x:v>Net product revenue ex VAT</x:v>
      </x:c>
      <x:c r="B6" s="18" t="n">
        <x:f>B3/(1+Inputs!B4)</x:f>
        <x:v>20.833333333333336</x:v>
      </x:c>
    </x:row>
    <x:row r="7">
      <x:c r="A7" t="str">
        <x:v>Net delivery revenue ex VAT</x:v>
      </x:c>
      <x:c r="B7" s="18" t="n">
        <x:f>B4/(1+Inputs!B4)</x:f>
        <x:v>3.291666666666667</x:v>
      </x:c>
    </x:row>
    <x:row r="8">
      <x:c r="A8" t="str">
        <x:v>Net total revenue ex VAT</x:v>
      </x:c>
      <x:c r="B8" s="18" t="n">
        <x:f>B6+B7</x:f>
        <x:v>24.125000000000004</x:v>
      </x:c>
    </x:row>
    <x:row r="9">
      <x:c r="A9" t="str">
        <x:v>Cost of products ex VAT</x:v>
      </x:c>
      <x:c r="B9" s="18" t="n">
        <x:f>B6*Inputs!B7</x:f>
        <x:v>10.416666666666668</x:v>
      </x:c>
    </x:row>
    <x:row r="10">
      <x:c r="A10" t="str">
        <x:v>Supplier direct postage ex VAT</x:v>
      </x:c>
      <x:c r="B10" s="18" t="n">
        <x:f>Inputs!B8*Inputs!B15</x:f>
        <x:v>4.5</x:v>
      </x:c>
    </x:row>
    <x:row r="11">
      <x:c r="A11" t="str">
        <x:v>Supplier pick-pack cost ex VAT</x:v>
      </x:c>
      <x:c r="B11" s="18" t="n">
        <x:f>Inputs!B9*Inputs!B15</x:f>
        <x:v>0.6</x:v>
      </x:c>
    </x:row>
    <x:row r="12">
      <x:c r="A12" t="str">
        <x:v>Card processing fee</x:v>
      </x:c>
      <x:c r="B12" s="18" t="n">
        <x:f>B5*Inputs!B10+Inputs!B11</x:f>
        <x:v>0.63425</x:v>
      </x:c>
    </x:row>
    <x:row r="13">
      <x:c r="A13" t="str">
        <x:v>Returns and warranty allowance</x:v>
      </x:c>
      <x:c r="B13" s="18" t="n">
        <x:f>B6*Inputs!B12</x:f>
        <x:v>0.625</x:v>
      </x:c>
    </x:row>
    <x:row r="14">
      <x:c r="A14" t="str">
        <x:v>Acquisition cost</x:v>
      </x:c>
      <x:c r="B14" s="18" t="n">
        <x:f>Inputs!B13</x:f>
        <x:v>3.5</x:v>
      </x:c>
    </x:row>
    <x:row r="15">
      <x:c r="A15" t="str">
        <x:v>Other order support variable cost</x:v>
      </x:c>
      <x:c r="B15" s="18" t="n">
        <x:f>Inputs!B14</x:f>
        <x:v>0.3</x:v>
      </x:c>
    </x:row>
    <x:row r="16">
      <x:c r="A16" t="str">
        <x:v>Contribution after variable costs</x:v>
      </x:c>
      <x:c r="B16" s="19" t="n">
        <x:f>B8-SUM(B9:B15)</x:f>
        <x:v>3.5490833333333356</x:v>
      </x:c>
    </x:row>
    <x:row r="17">
      <x:c r="A17" t="str">
        <x:v>Contribution margin on net revenue</x:v>
      </x:c>
      <x:c r="B17" s="22" t="n">
        <x:f>IFERROR(B16/B8,0)</x:f>
        <x:v>0.14711226252158902</x:v>
      </x:c>
    </x:row>
    <x:row r="18">
      <x:c r="A18" t="str">
        <x:v>Break-even paid CAC with no required profit</x:v>
      </x:c>
      <x:c r="B18" s="18" t="n">
        <x:f>B16+B14</x:f>
        <x:v>7.049083333333336</x:v>
      </x:c>
    </x:row>
    <x:row r="19">
      <x:c r="A19" t="str">
        <x:v>Target order contribution required</x:v>
      </x:c>
      <x:c r="B19" s="18" t="n">
        <x:f>Inputs!B17</x:f>
        <x:v>4</x:v>
      </x:c>
    </x:row>
    <x:row r="20">
      <x:c r="A20" t="str">
        <x:v>Gap to target contribution</x:v>
      </x:c>
      <x:c r="B20" s="18" t="n">
        <x:f>B16-B19</x:f>
        <x:v>-0.4509166666666644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3" t="str">
        <x:v>MONTHLY TRAFFIC / CONVERSION SCENARIOS</x:v>
      </x:c>
      <x:c r="B1"/>
      <x:c r="C1"/>
      <x:c r="D1"/>
      <x:c r="E1"/>
    </x:row>
    <x:row r="3" ht="25" customHeight="1">
      <x:c r="A3" s="13" t="str">
        <x:v>Scenario</x:v>
      </x:c>
      <x:c r="B3" s="13" t="str">
        <x:v>Monthly sessions</x:v>
      </x:c>
      <x:c r="C3" s="13" t="str">
        <x:v>Conversion rate</x:v>
      </x:c>
      <x:c r="D3" s="13" t="str">
        <x:v>Estimated orders</x:v>
      </x:c>
      <x:c r="E3" s="13" t="str">
        <x:v>Total contribution (£)</x:v>
      </x:c>
      <x:c r="F3" s="13" t="str">
        <x:v>After fixed overhead (£)</x:v>
      </x:c>
    </x:row>
    <x:row r="4">
      <x:c r="A4" t="str">
        <x:v>Very early</x:v>
      </x:c>
      <x:c r="B4" s="6" t="n">
        <x:v>1000</x:v>
      </x:c>
      <x:c r="C4" s="24" t="n">
        <x:v>0.01</x:v>
      </x:c>
      <x:c r="D4" t="n">
        <x:f>ROUND(B4*C4,0)</x:f>
        <x:v>10</x:v>
      </x:c>
      <x:c r="E4" s="18" t="n">
        <x:f>D4*UnitEconomics!$B$16</x:f>
        <x:v>35.490833333333356</x:v>
      </x:c>
      <x:c r="F4" s="18" t="n">
        <x:f>E4-Inputs!$B$16</x:f>
        <x:v>-164.50916666666666</x:v>
      </x:c>
    </x:row>
    <x:row r="5">
      <x:c r="A5" t="str">
        <x:v>Conservative</x:v>
      </x:c>
      <x:c r="B5" s="6" t="n">
        <x:v>2500</x:v>
      </x:c>
      <x:c r="C5" s="24" t="n">
        <x:v>0.012</x:v>
      </x:c>
      <x:c r="D5" t="n">
        <x:f>ROUND(B5*C5,0)</x:f>
        <x:v>30</x:v>
      </x:c>
      <x:c r="E5" s="18" t="n">
        <x:f>D5*UnitEconomics!$B$16</x:f>
        <x:v>106.47250000000007</x:v>
      </x:c>
      <x:c r="F5" s="18" t="n">
        <x:f>E5-Inputs!$B$16</x:f>
        <x:v>-93.52749999999993</x:v>
      </x:c>
    </x:row>
    <x:row r="6">
      <x:c r="A6" t="str">
        <x:v>Base</x:v>
      </x:c>
      <x:c r="B6" s="6" t="n">
        <x:v>5000</x:v>
      </x:c>
      <x:c r="C6" s="24" t="n">
        <x:v>0.015</x:v>
      </x:c>
      <x:c r="D6" t="n">
        <x:f>ROUND(B6*C6,0)</x:f>
        <x:v>75</x:v>
      </x:c>
      <x:c r="E6" s="18" t="n">
        <x:f>D6*UnitEconomics!$B$16</x:f>
        <x:v>266.18125000000015</x:v>
      </x:c>
      <x:c r="F6" s="18" t="n">
        <x:f>E6-Inputs!$B$16</x:f>
        <x:v>66.18125000000015</x:v>
      </x:c>
    </x:row>
    <x:row r="7">
      <x:c r="A7" t="str">
        <x:v>Growth</x:v>
      </x:c>
      <x:c r="B7" s="6" t="n">
        <x:v>10000</x:v>
      </x:c>
      <x:c r="C7" s="24" t="n">
        <x:v>0.02</x:v>
      </x:c>
      <x:c r="D7" t="n">
        <x:f>ROUND(B7*C7,0)</x:f>
        <x:v>200</x:v>
      </x:c>
      <x:c r="E7" s="18" t="n">
        <x:f>D7*UnitEconomics!$B$16</x:f>
        <x:v>709.8166666666671</x:v>
      </x:c>
      <x:c r="F7" s="18" t="n">
        <x:f>E7-Inputs!$B$16</x:f>
        <x:v>509.81666666666706</x:v>
      </x:c>
    </x:row>
    <x:row r="8">
      <x:c r="A8" t="str">
        <x:v>Strong execution</x:v>
      </x:c>
      <x:c r="B8" s="6" t="n">
        <x:v>20000</x:v>
      </x:c>
      <x:c r="C8" s="24" t="n">
        <x:v>0.025</x:v>
      </x:c>
      <x:c r="D8" t="n">
        <x:f>ROUND(B8*C8,0)</x:f>
        <x:v>500</x:v>
      </x:c>
      <x:c r="E8" s="18" t="n">
        <x:f>D8*UnitEconomics!$B$16</x:f>
        <x:v>1774.5416666666679</x:v>
      </x:c>
      <x:c r="F8" s="18" t="n">
        <x:f>E8-Inputs!$B$16</x:f>
        <x:v>1574.5416666666679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47" hidden="0" customWidth="1"/>
    <x:col min="4" max="4" width="58" hidden="0" customWidth="1"/>
  </x:cols>
  <x:sheetData>
    <x:row r="1" ht="30" customHeight="1">
      <x:c r="A1" s="3" t="str">
        <x:v>OPERATING COST ASSUMPTIONS — NOT VENDOR QUOTES</x:v>
      </x:c>
      <x:c r="B1"/>
      <x:c r="C1"/>
    </x:row>
    <x:row r="3" ht="25" customHeight="1">
      <x:c r="A3" s="13" t="str">
        <x:v>Cost item</x:v>
      </x:c>
      <x:c r="B3" s="13" t="str">
        <x:v>GBP/month scenario</x:v>
      </x:c>
      <x:c r="C3" s="13" t="str">
        <x:v>Status</x:v>
      </x:c>
      <x:c r="D3" s="13" t="str">
        <x:v>Source</x:v>
      </x:c>
    </x:row>
    <x:row r="4">
      <x:c r="A4" t="str">
        <x:v>Next.js storefront Vercel Pro</x:v>
      </x:c>
      <x:c r="B4" s="26" t="n">
        <x:v>18</x:v>
      </x:c>
      <x:c r="C4" t="str">
        <x:v>Illustrative GBP equivalent, actual $20/month plus usage</x:v>
      </x:c>
      <x:c r="D4" t="str">
        <x:v>https://vercel.com/pricing</x:v>
      </x:c>
    </x:row>
    <x:row r="5">
      <x:c r="A5" t="str">
        <x:v>Medusa persistent server/worker</x:v>
      </x:c>
      <x:c r="B5" s="26" t="n">
        <x:v>65</x:v>
      </x:c>
      <x:c r="C5" t="str">
        <x:v>Estimate, requires real provider quote</x:v>
      </x:c>
      <x:c r="D5" t="str">
        <x:v>https://docs.medusajs.com/learn/deployment/general</x:v>
      </x:c>
    </x:row>
    <x:row r="6">
      <x:c r="A6" t="str">
        <x:v>Managed PostgreSQL</x:v>
      </x:c>
      <x:c r="B6" s="26" t="n">
        <x:v>20</x:v>
      </x:c>
      <x:c r="C6" t="str">
        <x:v>Illustrative GBP equivalent, Supabase Pro lists $25/month</x:v>
      </x:c>
      <x:c r="D6" t="str">
        <x:v>https://supabase.com/pricing</x:v>
      </x:c>
    </x:row>
    <x:row r="7">
      <x:c r="A7" t="str">
        <x:v>Managed Redis</x:v>
      </x:c>
      <x:c r="B7" s="26" t="n">
        <x:v>10</x:v>
      </x:c>
      <x:c r="C7" t="str">
        <x:v>Estimate, verify provider quote</x:v>
      </x:c>
      <x:c r="D7" t="str">
        <x:v>https://docs.medusajs.com/learn/deployment/general</x:v>
      </x:c>
    </x:row>
    <x:row r="8">
      <x:c r="A8" t="str">
        <x:v>Object storage / CDN</x:v>
      </x:c>
      <x:c r="B8" s="26" t="n">
        <x:v>8</x:v>
      </x:c>
      <x:c r="C8" t="str">
        <x:v>Estimate, usage varies</x:v>
      </x:c>
      <x:c r="D8" t="str"/>
    </x:row>
    <x:row r="9">
      <x:c r="A9" t="str">
        <x:v>Transactional email</x:v>
      </x:c>
      <x:c r="B9" s="26" t="n">
        <x:v>5</x:v>
      </x:c>
      <x:c r="C9" t="str">
        <x:v>Estimate, usage varies</x:v>
      </x:c>
      <x:c r="D9" t="str"/>
    </x:row>
    <x:row r="10">
      <x:c r="A10" t="str">
        <x:v>Search / analytics / monitoring</x:v>
      </x:c>
      <x:c r="B10" s="26" t="n">
        <x:v>12</x:v>
      </x:c>
      <x:c r="C10" t="str">
        <x:v>Estimate, initial minimal stack</x:v>
      </x:c>
      <x:c r="D10" t="str"/>
    </x:row>
    <x:row r="11">
      <x:c r="A11" t="str">
        <x:v>AI usage allowance</x:v>
      </x:c>
      <x:c r="B11" s="26" t="n">
        <x:v>20</x:v>
      </x:c>
      <x:c r="C11" t="str">
        <x:v>Estimate depends on model, tokens, abuse/rate limiting</x:v>
      </x:c>
      <x:c r="D11" t="str"/>
    </x:row>
    <x:row r="12">
      <x:c r="A12" t="str">
        <x:v>Domain &amp; business email monthly allocation</x:v>
      </x:c>
      <x:c r="B12" s="26" t="n">
        <x:v>10</x:v>
      </x:c>
      <x:c r="C12" t="str">
        <x:v>Estimate, provider/tax varies</x:v>
      </x:c>
      <x:c r="D12" t="str"/>
    </x:row>
    <x:row r="13">
      <x:c r="A13" t="str">
        <x:v>Backups/contingency</x:v>
      </x:c>
      <x:c r="B13" s="26" t="n">
        <x:v>32</x:v>
      </x:c>
      <x:c r="C13" t="str">
        <x:v>Estimated reserve</x:v>
      </x:c>
      <x:c r="D13" t="str"/>
    </x:row>
    <x:row r="14">
      <x:c r="B14" s="18"/>
    </x:row>
    <x:row r="15">
      <x:c r="A15" t="str">
        <x:v>Total example monthly overhead (£)</x:v>
      </x:c>
      <x:c r="B15" s="18" t="n">
        <x:f>SUM(B4:B13)</x:f>
        <x:v>200</x:v>
      </x:c>
    </x:row>
    <x:row r="16">
      <x:c r="B16" s="18"/>
    </x:row>
    <x:row r="17">
      <x:c r="A17" t="str">
        <x:v>Linked monthly overhead used in model</x:v>
      </x:c>
      <x:c r="B17" s="18" t="n">
        <x:f>Inputs!B16</x:f>
        <x:v>200</x:v>
      </x:c>
    </x:row>
    <x:row r="19">
      <x:c r="A19" t="str">
        <x:v>Note</x:v>
      </x:c>
      <x:c r="B19" t="str">
        <x:v>Input fixed overhead deliberately editable independent of estimates.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66" hidden="0" customWidth="1"/>
    <x:col min="3" max="3" width="35" hidden="0" customWidth="1"/>
    <x:col min="6" max="6" width="24" hidden="0" customWidth="1"/>
    <x:col min="8" max="8" width="25" hidden="0" customWidth="1"/>
    <x:col min="9" max="9" width="25" hidden="0" customWidth="1"/>
  </x:cols>
  <x:sheetData>
    <x:row r="1" ht="25" customHeight="1">
      <x:c r="A1" s="16" t="str">
        <x:v>SKU</x:v>
      </x:c>
      <x:c r="B1" s="13" t="str">
        <x:v>Product description (source truncated in some rows)</x:v>
      </x:c>
      <x:c r="C1" s="13" t="str">
        <x:v>Unit cost ex VAT (£)</x:v>
      </x:c>
      <x:c r="D1" s="13" t="str">
        <x:v>Quoted units</x:v>
      </x:c>
      <x:c r="E1" s="13" t="str">
        <x:v>Quote cases</x:v>
      </x:c>
      <x:c r="F1" s="13" t="str">
        <x:v>Barcode</x:v>
      </x:c>
      <x:c r="G1" s="13" t="str">
        <x:v>Page</x:v>
      </x:c>
      <x:c r="H1" s="13" t="str">
        <x:v>Inventory confirmed?</x:v>
      </x:c>
      <x:c r="I1" s="13" t="str">
        <x:v>Dropship confirmed?</x:v>
      </x:c>
    </x:row>
    <x:row r="2">
      <x:c r="A2" t="str">
        <x:v>IONPVCMC5PKX6</x:v>
      </x:c>
      <x:c r="B2" t="str">
        <x:v>10 Mtr - Status - PVC Electrical Tape - Mixed Colours (Black Blue Red White Green/Yellow) - 5 pk - Shrink Wrapped - in C...</x:v>
      </x:c>
      <x:c r="C2" s="32" t="n">
        <x:v>1.06</x:v>
      </x:c>
      <x:c r="D2" t="n">
        <x:v>6</x:v>
      </x:c>
      <x:c r="E2" t="n">
        <x:v>1</x:v>
      </x:c>
      <x:c r="F2" t="str">
        <x:v>5022822224834</x:v>
      </x:c>
      <x:c r="G2" t="n">
        <x:v>1</x:v>
      </x:c>
      <x:c r="H2" t="str">
        <x:v>NO - quotation only</x:v>
      </x:c>
      <x:c r="I2" t="str">
        <x:v>NO</x:v>
      </x:c>
    </x:row>
    <x:row r="3">
      <x:c r="A3" t="str">
        <x:v>IONPVCBLU1PKX12</x:v>
      </x:c>
      <x:c r="B3" t="str">
        <x:v>33 Mtr - Ionos - PVC Electrical Tape - Blue - 1 pk - Shrink Wrapped</x:v>
      </x:c>
      <x:c r="C3" s="32" t="n">
        <x:v>0.64</x:v>
      </x:c>
      <x:c r="D3" t="n">
        <x:v>12</x:v>
      </x:c>
      <x:c r="E3" t="n">
        <x:v>1</x:v>
      </x:c>
      <x:c r="F3" t="str">
        <x:v>5022822224919</x:v>
      </x:c>
      <x:c r="G3" t="n">
        <x:v>1</x:v>
      </x:c>
      <x:c r="H3" t="str">
        <x:v>NO - quotation only</x:v>
      </x:c>
      <x:c r="I3" t="str">
        <x:v>NO</x:v>
      </x:c>
    </x:row>
    <x:row r="4">
      <x:c r="A4" t="str">
        <x:v>IONPVCRED1PKX12</x:v>
      </x:c>
      <x:c r="B4" t="str">
        <x:v>33 Mtr - Ionos - PVC Electrical Tape - Red - 1 pk - Shrink Wrapped</x:v>
      </x:c>
      <x:c r="C4" s="32" t="n">
        <x:v>0.64</x:v>
      </x:c>
      <x:c r="D4" t="n">
        <x:v>12</x:v>
      </x:c>
      <x:c r="E4" t="n">
        <x:v>1</x:v>
      </x:c>
      <x:c r="F4" t="str">
        <x:v>5022822224896</x:v>
      </x:c>
      <x:c r="G4" t="n">
        <x:v>1</x:v>
      </x:c>
      <x:c r="H4" t="str">
        <x:v>NO - quotation only</x:v>
      </x:c>
      <x:c r="I4" t="str">
        <x:v>NO</x:v>
      </x:c>
    </x:row>
    <x:row r="5">
      <x:c r="A5" t="str">
        <x:v>IONPVCYAG1PKX12</x:v>
      </x:c>
      <x:c r="B5" t="str">
        <x:v>33 Mtr - Ionos - PVC Electrical Tape - Yellow/Green - 1 pk - Shrink Wrapped</x:v>
      </x:c>
      <x:c r="C5" s="32" t="n">
        <x:v>0.64</x:v>
      </x:c>
      <x:c r="D5" t="n">
        <x:v>12</x:v>
      </x:c>
      <x:c r="E5" t="n">
        <x:v>1</x:v>
      </x:c>
      <x:c r="F5" t="str">
        <x:v>5022822225015</x:v>
      </x:c>
      <x:c r="G5" t="n">
        <x:v>1</x:v>
      </x:c>
      <x:c r="H5" t="str">
        <x:v>NO - quotation only</x:v>
      </x:c>
      <x:c r="I5" t="str">
        <x:v>NO</x:v>
      </x:c>
    </x:row>
    <x:row r="6">
      <x:c r="A6" t="str">
        <x:v>IONPVCBWN1PKX12</x:v>
      </x:c>
      <x:c r="B6" t="str">
        <x:v>33 Mtr - Ionos - PVC Electrical Tape - Brown - 1 pk - Shrink Wrapped</x:v>
      </x:c>
      <x:c r="C6" s="32" t="n">
        <x:v>0.64</x:v>
      </x:c>
      <x:c r="D6" t="n">
        <x:v>12</x:v>
      </x:c>
      <x:c r="E6" t="n">
        <x:v>1</x:v>
      </x:c>
      <x:c r="F6" t="str">
        <x:v>5022822224872</x:v>
      </x:c>
      <x:c r="G6" t="n">
        <x:v>1</x:v>
      </x:c>
      <x:c r="H6" t="str">
        <x:v>NO - quotation only</x:v>
      </x:c>
      <x:c r="I6" t="str">
        <x:v>NO</x:v>
      </x:c>
    </x:row>
    <x:row r="7">
      <x:c r="A7" t="str">
        <x:v>IONPVCWHT1PKX12</x:v>
      </x:c>
      <x:c r="B7" t="str">
        <x:v>33 Mtr - Ionos - PVC Electrical Tape - White - 1 pk - Shrink Wrapped</x:v>
      </x:c>
      <x:c r="C7" s="32" t="n">
        <x:v>0.64</x:v>
      </x:c>
      <x:c r="D7" t="n">
        <x:v>12</x:v>
      </x:c>
      <x:c r="E7" t="n">
        <x:v>1</x:v>
      </x:c>
      <x:c r="F7" t="str">
        <x:v>5022822224858</x:v>
      </x:c>
      <x:c r="G7" t="n">
        <x:v>2</x:v>
      </x:c>
      <x:c r="H7" t="str">
        <x:v>NO - quotation only</x:v>
      </x:c>
      <x:c r="I7" t="str">
        <x:v>NO</x:v>
      </x:c>
    </x:row>
    <x:row r="8">
      <x:c r="A8" t="str">
        <x:v>IONPVCYLW1PKX12</x:v>
      </x:c>
      <x:c r="B8" t="str">
        <x:v>33 Mtr - Ionos - PVC Electrical Tape - Yellow - 1 pk - Shrink Wrapped</x:v>
      </x:c>
      <x:c r="C8" s="32" t="n">
        <x:v>0.64</x:v>
      </x:c>
      <x:c r="D8" t="n">
        <x:v>12</x:v>
      </x:c>
      <x:c r="E8" t="n">
        <x:v>1</x:v>
      </x:c>
      <x:c r="F8" t="str">
        <x:v>5022822225008</x:v>
      </x:c>
      <x:c r="G8" t="n">
        <x:v>2</x:v>
      </x:c>
      <x:c r="H8" t="str">
        <x:v>NO - quotation only</x:v>
      </x:c>
      <x:c r="I8" t="str">
        <x:v>NO</x:v>
      </x:c>
    </x:row>
    <x:row r="9">
      <x:c r="A9" t="str">
        <x:v>IONPVCBLK1PKX12</x:v>
      </x:c>
      <x:c r="B9" t="str">
        <x:v>33 Mtr - Ionos - PVC Electrical Tape - Black - 1 pk - Shrink Wrapped</x:v>
      </x:c>
      <x:c r="C9" s="32" t="n">
        <x:v>0.64</x:v>
      </x:c>
      <x:c r="D9" t="n">
        <x:v>12</x:v>
      </x:c>
      <x:c r="E9" t="n">
        <x:v>1</x:v>
      </x:c>
      <x:c r="F9" t="str">
        <x:v>5022822224926</x:v>
      </x:c>
      <x:c r="G9" t="n">
        <x:v>2</x:v>
      </x:c>
      <x:c r="H9" t="str">
        <x:v>NO - quotation only</x:v>
      </x:c>
      <x:c r="I9" t="str">
        <x:v>NO</x:v>
      </x:c>
    </x:row>
    <x:row r="10">
      <x:c r="A10" t="str">
        <x:v>IONMT48MM1PKX24</x:v>
      </x:c>
      <x:c r="B10" t="str">
        <x:v>20 Mtr - Ionos - Masking Tape - 48mm - 1 pk - Shrink Wrapped</x:v>
      </x:c>
      <x:c r="C10" s="32" t="n">
        <x:v>0.56</x:v>
      </x:c>
      <x:c r="D10" t="n">
        <x:v>24</x:v>
      </x:c>
      <x:c r="E10" t="n">
        <x:v>1</x:v>
      </x:c>
      <x:c r="F10" t="str">
        <x:v>5022822224810</x:v>
      </x:c>
      <x:c r="G10" t="n">
        <x:v>2</x:v>
      </x:c>
      <x:c r="H10" t="str">
        <x:v>NO - quotation only</x:v>
      </x:c>
      <x:c r="I10" t="str">
        <x:v>NO</x:v>
      </x:c>
    </x:row>
    <x:row r="11">
      <x:c r="A11" t="str">
        <x:v>IONMT23MM2PKX24</x:v>
      </x:c>
      <x:c r="B11" t="str">
        <x:v>20 Mtr - Ionos - Masking Tape - 23mm - 2 pk - Shrink Wrapped</x:v>
      </x:c>
      <x:c r="C11" s="32" t="n">
        <x:v>0.55</x:v>
      </x:c>
      <x:c r="D11" t="n">
        <x:v>24</x:v>
      </x:c>
      <x:c r="E11" t="n">
        <x:v>1</x:v>
      </x:c>
      <x:c r="F11" t="str">
        <x:v>5022822224827</x:v>
      </x:c>
      <x:c r="G11" t="n">
        <x:v>2</x:v>
      </x:c>
      <x:c r="H11" t="str">
        <x:v>NO - quotation only</x:v>
      </x:c>
      <x:c r="I11" t="str">
        <x:v>NO</x:v>
      </x:c>
    </x:row>
    <x:row r="12">
      <x:c r="A12" t="str">
        <x:v>IONCT48MM1PKX12</x:v>
      </x:c>
      <x:c r="B12" t="str">
        <x:v>20 Mtr - Ionos - Cloth Tape - Grey - 1 pk - Shrink Wrapped</x:v>
      </x:c>
      <x:c r="C12" s="32" t="n">
        <x:v>1.01</x:v>
      </x:c>
      <x:c r="D12" t="n">
        <x:v>12</x:v>
      </x:c>
      <x:c r="E12" t="n">
        <x:v>1</x:v>
      </x:c>
      <x:c r="F12" t="str">
        <x:v>5022822224933</x:v>
      </x:c>
      <x:c r="G12" t="n">
        <x:v>2</x:v>
      </x:c>
      <x:c r="H12" t="str">
        <x:v>NO - quotation only</x:v>
      </x:c>
      <x:c r="I12" t="str">
        <x:v>NO</x:v>
      </x:c>
    </x:row>
    <x:row r="13">
      <x:c r="A13" t="str">
        <x:v>IONPT48MM6PKX6</x:v>
      </x:c>
      <x:c r="B13" t="str">
        <x:v>150 Mtr - Ionos - BOPP Packaging Tape - 6 pk x 6 rolls (36 total) - 1.5" core - Shrink Wrapped</x:v>
      </x:c>
      <x:c r="C13" s="32" t="n">
        <x:v>5.23</x:v>
      </x:c>
      <x:c r="D13" t="n">
        <x:v>6</x:v>
      </x:c>
      <x:c r="E13" t="n">
        <x:v>1</x:v>
      </x:c>
      <x:c r="F13" t="str">
        <x:v>5022822224940</x:v>
      </x:c>
      <x:c r="G13" t="n">
        <x:v>2</x:v>
      </x:c>
      <x:c r="H13" t="str">
        <x:v>NO - quotation only</x:v>
      </x:c>
      <x:c r="I13" t="str">
        <x:v>NO</x:v>
      </x:c>
    </x:row>
    <x:row r="14">
      <x:c r="A14" t="str">
        <x:v>IONCPLIERS1P10</x:v>
      </x:c>
      <x:c r="B14" t="str">
        <x:v>Combination Pliers - 160mm - drop forged carbon steel - nickel plated - 6" - soft plastic handle - Ionos - 1 pk</x:v>
      </x:c>
      <x:c r="C14" s="32" t="n">
        <x:v>1.4</x:v>
      </x:c>
      <x:c r="D14" t="n">
        <x:v>10</x:v>
      </x:c>
      <x:c r="E14" t="n">
        <x:v>1</x:v>
      </x:c>
      <x:c r="F14" t="str">
        <x:v>5022822225428</x:v>
      </x:c>
      <x:c r="G14" t="n">
        <x:v>2</x:v>
      </x:c>
      <x:c r="H14" t="str">
        <x:v>NO - quotation only</x:v>
      </x:c>
      <x:c r="I14" t="str">
        <x:v>NO</x:v>
      </x:c>
    </x:row>
    <x:row r="15">
      <x:c r="A15" t="str">
        <x:v>IONAPLIERS1P10</x:v>
      </x:c>
      <x:c r="B15" t="str">
        <x:v>Adjustable Pliers - drop forged carbon steel - D3 style - 10" - polished jaw - soft handle - Ionos - 250mm - 1 pk</x:v>
      </x:c>
      <x:c r="C15" s="32" t="n">
        <x:v>2.14</x:v>
      </x:c>
      <x:c r="D15" t="n">
        <x:v>10</x:v>
      </x:c>
      <x:c r="E15" t="n">
        <x:v>1</x:v>
      </x:c>
      <x:c r="F15" t="str">
        <x:v>5022822225459</x:v>
      </x:c>
      <x:c r="G15" t="n">
        <x:v>3</x:v>
      </x:c>
      <x:c r="H15" t="str">
        <x:v>NO - quotation only</x:v>
      </x:c>
      <x:c r="I15" t="str">
        <x:v>NO</x:v>
      </x:c>
    </x:row>
    <x:row r="16">
      <x:c r="A16" t="str">
        <x:v>IONWPLIERS1P10</x:v>
      </x:c>
      <x:c r="B16" t="str">
        <x:v>Wire Cutter Pliers - drop forged carbon steel - polished head - 6" - soft plastic handle - Ionos - 150mm - 1 pk</x:v>
      </x:c>
      <x:c r="C16" s="32" t="n">
        <x:v>1.48</x:v>
      </x:c>
      <x:c r="D16" t="n">
        <x:v>10</x:v>
      </x:c>
      <x:c r="E16" t="n">
        <x:v>1</x:v>
      </x:c>
      <x:c r="F16" t="str">
        <x:v>5022822225442</x:v>
      </x:c>
      <x:c r="G16" t="n">
        <x:v>3</x:v>
      </x:c>
      <x:c r="H16" t="str">
        <x:v>NO - quotation only</x:v>
      </x:c>
      <x:c r="I16" t="str">
        <x:v>NO</x:v>
      </x:c>
    </x:row>
    <x:row r="17">
      <x:c r="A17" t="str">
        <x:v>IONBPLIERS1P10</x:v>
      </x:c>
      <x:c r="B17" t="str">
        <x:v>Long Nose Pliers - drop forged carbon steel - nickel plated - 6" - soft plastic handle - Ionos - 150mm - 1 pk</x:v>
      </x:c>
      <x:c r="C17" s="32" t="n">
        <x:v>1.15</x:v>
      </x:c>
      <x:c r="D17" t="n">
        <x:v>10</x:v>
      </x:c>
      <x:c r="E17" t="n">
        <x:v>1</x:v>
      </x:c>
      <x:c r="F17" t="str">
        <x:v>5022822225435</x:v>
      </x:c>
      <x:c r="G17" t="n">
        <x:v>3</x:v>
      </x:c>
      <x:c r="H17" t="str">
        <x:v>NO - quotation only</x:v>
      </x:c>
      <x:c r="I17" t="str">
        <x:v>NO</x:v>
      </x:c>
    </x:row>
    <x:row r="18">
      <x:c r="A18" t="str">
        <x:v>ION61SDRIVER1P10</x:v>
      </x:c>
      <x:c r="B18" t="str">
        <x:v>6 in 1 Screwdriver - chrome vanadium driver bits - screw top plastic handle - hollow body head - 3/16" x 65mm: PH1-...</x:v>
      </x:c>
      <x:c r="C18" s="32" t="n">
        <x:v>1.4</x:v>
      </x:c>
      <x:c r="D18" t="n">
        <x:v>10</x:v>
      </x:c>
      <x:c r="E18" t="n">
        <x:v>1</x:v>
      </x:c>
      <x:c r="F18" t="str">
        <x:v>5022822225466</x:v>
      </x:c>
      <x:c r="G18" t="n">
        <x:v>3</x:v>
      </x:c>
      <x:c r="H18" t="str">
        <x:v>NO - quotation only</x:v>
      </x:c>
      <x:c r="I18" t="str">
        <x:v>NO</x:v>
      </x:c>
    </x:row>
    <x:row r="19">
      <x:c r="A19" t="str">
        <x:v>IONSDRIVERS4P10</x:v>
      </x:c>
      <x:c r="B19" t="str">
        <x:v>4 pc Screwdriver set - ﬂathead 6mm x 100mm, ﬂathead 4mm x 75mm - crosshead PH1 x 75mm - crosshead PH2 x 100m...</x:v>
      </x:c>
      <x:c r="C19" s="32" t="n">
        <x:v>1.96</x:v>
      </x:c>
      <x:c r="D19" t="n">
        <x:v>10</x:v>
      </x:c>
      <x:c r="E19" t="n">
        <x:v>1</x:v>
      </x:c>
      <x:c r="F19" t="str">
        <x:v>5022822225473</x:v>
      </x:c>
      <x:c r="G19" t="n">
        <x:v>3</x:v>
      </x:c>
      <x:c r="H19" t="str">
        <x:v>NO - quotation only</x:v>
      </x:c>
      <x:c r="I19" t="str">
        <x:v>NO</x:v>
      </x:c>
    </x:row>
    <x:row r="20">
      <x:c r="A20" t="str">
        <x:v>IONPSDRIVERS6P10</x:v>
      </x:c>
      <x:c r="B20" t="str">
        <x:v>6pc Precision Screwdriver set - swivel tops - 4 x ﬂathead, 1.4mm/2mm/2.4mm/3mm - 2 x crosshead, PH0/PH1 - colo...</x:v>
      </x:c>
      <x:c r="C20" s="32" t="n">
        <x:v>0.59</x:v>
      </x:c>
      <x:c r="D20" t="n">
        <x:v>10</x:v>
      </x:c>
      <x:c r="E20" t="n">
        <x:v>1</x:v>
      </x:c>
      <x:c r="F20" t="str">
        <x:v>5022822225480</x:v>
      </x:c>
      <x:c r="G20" t="n">
        <x:v>3</x:v>
      </x:c>
      <x:c r="H20" t="str">
        <x:v>NO - quotation only</x:v>
      </x:c>
      <x:c r="I20" t="str">
        <x:v>NO</x:v>
      </x:c>
    </x:row>
    <x:row r="21">
      <x:c r="A21" t="str">
        <x:v>ION1CSDRIVER1P12</x:v>
      </x:c>
      <x:c r="B21" t="str">
        <x:v>Crosshead screwdriver - 12pcs in CDU - size 5x100 - red plastic handle - black rubberised grip - Ionos - 1 pk</x:v>
      </x:c>
      <x:c r="C21" s="32" t="n">
        <x:v>0.5</x:v>
      </x:c>
      <x:c r="D21" t="n">
        <x:v>12</x:v>
      </x:c>
      <x:c r="E21" t="n">
        <x:v>1</x:v>
      </x:c>
      <x:c r="F21" t="str">
        <x:v>5022822225787</x:v>
      </x:c>
      <x:c r="G21" t="n">
        <x:v>3</x:v>
      </x:c>
      <x:c r="H21" t="str">
        <x:v>NO - quotation only</x:v>
      </x:c>
      <x:c r="I21" t="str">
        <x:v>NO</x:v>
      </x:c>
    </x:row>
    <x:row r="22">
      <x:c r="A22" t="str">
        <x:v>ION1FSDRIVER1P12</x:v>
      </x:c>
      <x:c r="B22" t="str">
        <x:v>Flathead screwdriver - 12pc in CDU - size 5x100 - red plastic handle - black rubberised grip - Ionos - 1 pk</x:v>
      </x:c>
      <x:c r="C22" s="32" t="n">
        <x:v>0.5</x:v>
      </x:c>
      <x:c r="D22" t="n">
        <x:v>12</x:v>
      </x:c>
      <x:c r="E22" t="n">
        <x:v>1</x:v>
      </x:c>
      <x:c r="F22" t="str">
        <x:v>5022822225633</x:v>
      </x:c>
      <x:c r="G22" t="n">
        <x:v>3</x:v>
      </x:c>
      <x:c r="H22" t="str">
        <x:v>NO - quotation only</x:v>
      </x:c>
      <x:c r="I22" t="str">
        <x:v>NO</x:v>
      </x:c>
    </x:row>
    <x:row r="23">
      <x:c r="A23" t="str">
        <x:v>IONNEONTESTS1P10</x:v>
      </x:c>
      <x:c r="B23" t="str">
        <x:v>Neon Tester - Ø3x140mm - test range: 200-250VAC - rated voltage: 100V-500V - rated frequency: 50Hz - valid tem...</x:v>
      </x:c>
      <x:c r="C23" s="32" t="n">
        <x:v>0.45</x:v>
      </x:c>
      <x:c r="D23" t="n">
        <x:v>10</x:v>
      </x:c>
      <x:c r="E23" t="n">
        <x:v>1</x:v>
      </x:c>
      <x:c r="F23" t="str">
        <x:v>5022822225640</x:v>
      </x:c>
      <x:c r="G23" t="n">
        <x:v>4</x:v>
      </x:c>
      <x:c r="H23" t="str">
        <x:v>NO - quotation only</x:v>
      </x:c>
      <x:c r="I23" t="str">
        <x:v>NO</x:v>
      </x:c>
    </x:row>
    <x:row r="24">
      <x:c r="A24" t="str">
        <x:v>IONHANDSAW1P6</x:v>
      </x:c>
      <x:c r="B24" t="str">
        <x:v>Handsaw 18" - degree and cm measuring strip - hardened 65Mn alloy steel blade - 450mm - 7 TPI - 3 edge teeth - 5m...</x:v>
      </x:c>
      <x:c r="C24" s="32" t="n">
        <x:v>2.01</x:v>
      </x:c>
      <x:c r="D24" t="n">
        <x:v>6</x:v>
      </x:c>
      <x:c r="E24" t="n">
        <x:v>1</x:v>
      </x:c>
      <x:c r="F24" t="str">
        <x:v>5022822225589</x:v>
      </x:c>
      <x:c r="G24" t="n">
        <x:v>4</x:v>
      </x:c>
      <x:c r="H24" t="str">
        <x:v>NO - quotation only</x:v>
      </x:c>
      <x:c r="I24" t="str">
        <x:v>NO</x:v>
      </x:c>
    </x:row>
    <x:row r="25">
      <x:c r="A25" t="str">
        <x:v>IONJHACKSAW1P10</x:v>
      </x:c>
      <x:c r="B25" t="str">
        <x:v>Junior Hacksaw - 150mm - chrome plated - steel frame - saw blade - colour card sleeve - Ionos - 1 pk</x:v>
      </x:c>
      <x:c r="C25" s="32" t="n">
        <x:v>0.48</x:v>
      </x:c>
      <x:c r="D25" t="n">
        <x:v>10</x:v>
      </x:c>
      <x:c r="E25" t="n">
        <x:v>1</x:v>
      </x:c>
      <x:c r="F25" t="str">
        <x:v>5022822225565</x:v>
      </x:c>
      <x:c r="G25" t="n">
        <x:v>4</x:v>
      </x:c>
      <x:c r="H25" t="str">
        <x:v>NO - quotation only</x:v>
      </x:c>
      <x:c r="I25" t="str">
        <x:v>NO</x:v>
      </x:c>
    </x:row>
    <x:row r="26">
      <x:c r="A26" t="str">
        <x:v>IONSHACKSAW1P6</x:v>
      </x:c>
      <x:c r="B26" t="str">
        <x:v>Standard Hacksaw - 300mm - red square laquered steel tube blow frame - black rubberised grip - colour card sleeve...</x:v>
      </x:c>
      <x:c r="C26" s="32" t="n">
        <x:v>2.18</x:v>
      </x:c>
      <x:c r="D26" t="n">
        <x:v>6</x:v>
      </x:c>
      <x:c r="E26" t="n">
        <x:v>1</x:v>
      </x:c>
      <x:c r="F26" t="str">
        <x:v>5022822225572</x:v>
      </x:c>
      <x:c r="G26" t="n">
        <x:v>4</x:v>
      </x:c>
      <x:c r="H26" t="str">
        <x:v>NO - quotation only</x:v>
      </x:c>
      <x:c r="I26" t="str">
        <x:v>NO</x:v>
      </x:c>
    </x:row>
    <x:row r="27">
      <x:c r="A27" t="str">
        <x:v>ION16OZSCHAM1P6</x:v>
      </x:c>
      <x:c r="B27" t="str">
        <x:v>Claw Hammer - solid forged ﬁne grain carbon steel - polished - lacquered - anti slip grip - 16oz - Ionos - 1 pk</x:v>
      </x:c>
      <x:c r="C27" s="32" t="n">
        <x:v>3.62</x:v>
      </x:c>
      <x:c r="D27" t="n">
        <x:v>6</x:v>
      </x:c>
      <x:c r="E27" t="n">
        <x:v>1</x:v>
      </x:c>
      <x:c r="F27" t="str">
        <x:v>5022822225411</x:v>
      </x:c>
      <x:c r="G27" t="n">
        <x:v>4</x:v>
      </x:c>
      <x:c r="H27" t="str">
        <x:v>NO - quotation only</x:v>
      </x:c>
      <x:c r="I27" t="str">
        <x:v>NO</x:v>
      </x:c>
    </x:row>
    <x:row r="28">
      <x:c r="A28" t="str">
        <x:v>ION8OZSCHAM1P10</x:v>
      </x:c>
      <x:c r="B28" t="str">
        <x:v>Stubby Claw Hammer - drop forged carbon steel - polished - lacquered - black rubberised grip - 8oz - Ionos - 1 pk</x:v>
      </x:c>
      <x:c r="C28" s="32" t="n">
        <x:v>1.4</x:v>
      </x:c>
      <x:c r="D28" t="n">
        <x:v>10</x:v>
      </x:c>
      <x:c r="E28" t="n">
        <x:v>1</x:v>
      </x:c>
      <x:c r="F28" t="str">
        <x:v>5022822225404</x:v>
      </x:c>
      <x:c r="G28" t="n">
        <x:v>4</x:v>
      </x:c>
      <x:c r="H28" t="str">
        <x:v>NO - quotation only</x:v>
      </x:c>
      <x:c r="I28" t="str">
        <x:v>NO</x:v>
      </x:c>
    </x:row>
    <x:row r="29">
      <x:c r="A29" t="str">
        <x:v>IONASPANNER1P10</x:v>
      </x:c>
      <x:c r="B29" t="str">
        <x:v>Adjustable Wrench 200mm - forged carbon steel - adjustable up to 25mm - chrome plated - tied to paper card - Ionos - 1 pk</x:v>
      </x:c>
      <x:c r="C29" s="32" t="n">
        <x:v>1.82</x:v>
      </x:c>
      <x:c r="D29" t="n">
        <x:v>10</x:v>
      </x:c>
      <x:c r="E29" t="n">
        <x:v>1</x:v>
      </x:c>
      <x:c r="F29" t="str">
        <x:v>5022822225534</x:v>
      </x:c>
      <x:c r="G29" t="n">
        <x:v>4</x:v>
      </x:c>
      <x:c r="H29" t="str">
        <x:v>NO - quotation only</x:v>
      </x:c>
      <x:c r="I29" t="str">
        <x:v>NO</x:v>
      </x:c>
    </x:row>
    <x:row r="30">
      <x:c r="A30" t="str">
        <x:v>IONSPANNERS1P10</x:v>
      </x:c>
      <x:c r="B30" t="str">
        <x:v>Spanner Set - drop forged carbon steel - 8mm/10mm/12mm/ 13mm/14mm/17mm - combination open end and 12 point/...</x:v>
      </x:c>
      <x:c r="C30" s="32" t="n">
        <x:v>3.73</x:v>
      </x:c>
      <x:c r="D30" t="n">
        <x:v>10</x:v>
      </x:c>
      <x:c r="E30" t="n">
        <x:v>1</x:v>
      </x:c>
      <x:c r="F30" t="str">
        <x:v>5022822225541</x:v>
      </x:c>
      <x:c r="G30" t="n">
        <x:v>4</x:v>
      </x:c>
      <x:c r="H30" t="str">
        <x:v>NO - quotation only</x:v>
      </x:c>
      <x:c r="I30" t="str">
        <x:v>NO</x:v>
      </x:c>
    </x:row>
    <x:row r="31">
      <x:c r="A31" t="str">
        <x:v>IONHEXKEYS1P10</x:v>
      </x:c>
      <x:c r="B31" t="str">
        <x:v>Hex Key Set - carbon steel 9pcs - 1.5mm/2mm/2.5mm/3mm/ 4mm/5mm/6mm/8mm/10mm - nickel plated - red housing ...</x:v>
      </x:c>
      <x:c r="C31" s="32" t="n">
        <x:v>1.3</x:v>
      </x:c>
      <x:c r="D31" t="n">
        <x:v>10</x:v>
      </x:c>
      <x:c r="E31" t="n">
        <x:v>1</x:v>
      </x:c>
      <x:c r="F31" t="str">
        <x:v>5022822225558</x:v>
      </x:c>
      <x:c r="G31" t="n">
        <x:v>5</x:v>
      </x:c>
      <x:c r="H31" t="str">
        <x:v>NO - quotation only</x:v>
      </x:c>
      <x:c r="I31" t="str">
        <x:v>NO</x:v>
      </x:c>
    </x:row>
    <x:row r="32">
      <x:c r="A32" t="str">
        <x:v>IONSEALANTGUN1P6</x:v>
      </x:c>
      <x:c r="B32" t="str">
        <x:v>Sealant gun - 11" caulking/sealant gun - hex hook - aluminium handle - 2mm frame - dropless function - card sl...</x:v>
      </x:c>
      <x:c r="C32" s="32" t="n">
        <x:v>1.78</x:v>
      </x:c>
      <x:c r="D32" t="n">
        <x:v>6</x:v>
      </x:c>
      <x:c r="E32" t="n">
        <x:v>1</x:v>
      </x:c>
      <x:c r="F32" t="str">
        <x:v>5022822227491</x:v>
      </x:c>
      <x:c r="G32" t="n">
        <x:v>5</x:v>
      </x:c>
      <x:c r="H32" t="str">
        <x:v>NO - quotation only</x:v>
      </x:c>
      <x:c r="I32" t="str">
        <x:v>NO</x:v>
      </x:c>
    </x:row>
    <x:row r="33">
      <x:c r="A33" t="str">
        <x:v>IONSPIRITL1P10</x:v>
      </x:c>
      <x:c r="B33" t="str">
        <x:v>2 ft Spirit Level - aluminium - 600mm - 1.5mm thick - 1:1000 accuracy - hanging card - Ionos - 1 pk</x:v>
      </x:c>
      <x:c r="C33" s="32" t="n">
        <x:v>2.84</x:v>
      </x:c>
      <x:c r="D33" t="n">
        <x:v>10</x:v>
      </x:c>
      <x:c r="E33" t="n">
        <x:v>1</x:v>
      </x:c>
      <x:c r="F33" t="str">
        <x:v>5022822225626</x:v>
      </x:c>
      <x:c r="G33" t="n">
        <x:v>5</x:v>
      </x:c>
      <x:c r="H33" t="str">
        <x:v>NO - quotation only</x:v>
      </x:c>
      <x:c r="I33" t="str">
        <x:v>NO</x:v>
      </x:c>
    </x:row>
    <x:row r="34">
      <x:c r="A34" t="str">
        <x:v>IONTAPEM5M1P12</x:v>
      </x:c>
      <x:c r="B34" t="str">
        <x:v>Tape Measure 5m - 19mm width - rubber coated plastic housing - belt clip - lockable - Ionos - 1 pk - backing card</x:v>
      </x:c>
      <x:c r="C34" s="32" t="n">
        <x:v>0.85</x:v>
      </x:c>
      <x:c r="D34" t="n">
        <x:v>12</x:v>
      </x:c>
      <x:c r="E34" t="n">
        <x:v>1</x:v>
      </x:c>
      <x:c r="F34" t="str">
        <x:v>5022822225510</x:v>
      </x:c>
      <x:c r="G34" t="n">
        <x:v>5</x:v>
      </x:c>
      <x:c r="H34" t="str">
        <x:v>NO - quotation only</x:v>
      </x:c>
      <x:c r="I34" t="str">
        <x:v>NO</x:v>
      </x:c>
    </x:row>
    <x:row r="35">
      <x:c r="A35" t="str">
        <x:v>IONTAPEM10M1P6</x:v>
      </x:c>
      <x:c r="B35" t="str">
        <x:v>Tape Measure 10m - 25mm width - rubber coated plastic housing - belt clip - lockable - Ionos - 1 pk</x:v>
      </x:c>
      <x:c r="C35" s="32" t="n">
        <x:v>2.05</x:v>
      </x:c>
      <x:c r="D35" t="n">
        <x:v>6</x:v>
      </x:c>
      <x:c r="E35" t="n">
        <x:v>1</x:v>
      </x:c>
      <x:c r="F35" t="str">
        <x:v>5022822225527</x:v>
      </x:c>
      <x:c r="G35" t="n">
        <x:v>5</x:v>
      </x:c>
      <x:c r="H35" t="str">
        <x:v>NO - quotation only</x:v>
      </x:c>
      <x:c r="I35" t="str">
        <x:v>NO</x:v>
      </x:c>
    </x:row>
    <x:row r="36">
      <x:c r="A36" t="str">
        <x:v>IONWPLUGS200P10</x:v>
      </x:c>
      <x:c r="B36" t="str">
        <x:v>Wall Plugs - 200pcs - 100x5mm/60x6mm/40x8mm - grey - boxed - tamper sealed - Ionos - 1pk</x:v>
      </x:c>
      <x:c r="C36" s="32" t="n">
        <x:v>1.27</x:v>
      </x:c>
      <x:c r="D36" t="n">
        <x:v>10</x:v>
      </x:c>
      <x:c r="E36" t="n">
        <x:v>1</x:v>
      </x:c>
      <x:c r="F36" t="str">
        <x:v>5022822225602</x:v>
      </x:c>
      <x:c r="G36" t="n">
        <x:v>5</x:v>
      </x:c>
      <x:c r="H36" t="str">
        <x:v>NO - quotation only</x:v>
      </x:c>
      <x:c r="I36" t="str">
        <x:v>NO</x:v>
      </x:c>
    </x:row>
    <x:row r="37">
      <x:c r="A37" t="str">
        <x:v>IONPHANGKIT1P10</x:v>
      </x:c>
      <x:c r="B37" t="str">
        <x:v>Multi-Use Picture Hanging Kit 1Pk - 75pcs - hanging hooks, 8x10LB,6x20LB,4x50LB - sheep eye, 16x1# - hanging teeth, 4...</x:v>
      </x:c>
      <x:c r="C37" s="32" t="n">
        <x:v>0.85</x:v>
      </x:c>
      <x:c r="D37" t="n">
        <x:v>10</x:v>
      </x:c>
      <x:c r="E37" t="n">
        <x:v>1</x:v>
      </x:c>
      <x:c r="F37" t="str">
        <x:v>5022822225619</x:v>
      </x:c>
      <x:c r="G37" t="n">
        <x:v>5</x:v>
      </x:c>
      <x:c r="H37" t="str">
        <x:v>NO - quotation only</x:v>
      </x:c>
      <x:c r="I37" t="str">
        <x:v>NO</x:v>
      </x:c>
    </x:row>
    <x:row r="38">
      <x:c r="A38" t="str">
        <x:v>IONBPENCIL5P10</x:v>
      </x:c>
      <x:c r="B38" t="str">
        <x:v>Builders Pencils with Sharpener - 5pcs - 4 x 7" long pencils - 1 x pencil sharpener - blister card - Ionos - 5 pk</x:v>
      </x:c>
      <x:c r="C38" s="32" t="n">
        <x:v>0.64</x:v>
      </x:c>
      <x:c r="D38" t="n">
        <x:v>10</x:v>
      </x:c>
      <x:c r="E38" t="n">
        <x:v>1</x:v>
      </x:c>
      <x:c r="F38" t="str">
        <x:v>5022822225688</x:v>
      </x:c>
      <x:c r="G38" t="n">
        <x:v>5</x:v>
      </x:c>
      <x:c r="H38" t="str">
        <x:v>NO - quotation only</x:v>
      </x:c>
      <x:c r="I38" t="str">
        <x:v>NO</x:v>
      </x:c>
    </x:row>
    <x:row r="39">
      <x:c r="A39" t="str">
        <x:v>IONPBRUSH5P10</x:v>
      </x:c>
      <x:c r="B39" t="str">
        <x:v>Paintbrush Set - 5 pcs set - 1 x 0.5"*45*8mm, 1 x 1"*52*12mm, 1 x 1.5"*52*14mm, 2 x 2"*52*15mm - red plasti...</x:v>
      </x:c>
      <x:c r="C39" s="32" t="n">
        <x:v>1.13</x:v>
      </x:c>
      <x:c r="D39" t="n">
        <x:v>10</x:v>
      </x:c>
      <x:c r="E39" t="n">
        <x:v>1</x:v>
      </x:c>
      <x:c r="F39" t="str">
        <x:v>5022822225763</x:v>
      </x:c>
      <x:c r="G39" t="n">
        <x:v>6</x:v>
      </x:c>
      <x:c r="H39" t="str">
        <x:v>NO - quotation only</x:v>
      </x:c>
      <x:c r="I39" t="str">
        <x:v>NO</x:v>
      </x:c>
    </x:row>
    <x:row r="40">
      <x:c r="A40" t="str">
        <x:v>IONROLLTRAY41P10</x:v>
      </x:c>
      <x:c r="B40" t="str">
        <x:v>Paint Roller Tray 4" - 2 spare rollers - 5pc set - 1 x roller tray, 1 x 5.8mm zinc plated metal holder, 1 x 4"*35mm foam, 2 x 4...</x:v>
      </x:c>
      <x:c r="C40" s="32" t="n">
        <x:v>1.33</x:v>
      </x:c>
      <x:c r="D40" t="n">
        <x:v>10</x:v>
      </x:c>
      <x:c r="E40" t="n">
        <x:v>1</x:v>
      </x:c>
      <x:c r="F40" t="str">
        <x:v>5022822225756</x:v>
      </x:c>
      <x:c r="G40" t="n">
        <x:v>6</x:v>
      </x:c>
      <x:c r="H40" t="str">
        <x:v>NO - quotation only</x:v>
      </x:c>
      <x:c r="I40" t="str">
        <x:v>NO</x:v>
      </x:c>
    </x:row>
    <x:row r="41">
      <x:c r="A41" t="str">
        <x:v>IONWSCRAPER21P10</x:v>
      </x:c>
      <x:c r="B41" t="str">
        <x:v>Wallpaper Scraper - 2" width - carbon steel blade - mirror polished - red plastic handle - card wrapped with euro slot -...</x:v>
      </x:c>
      <x:c r="C41" s="32" t="n">
        <x:v>0.39</x:v>
      </x:c>
      <x:c r="D41" t="n">
        <x:v>10</x:v>
      </x:c>
      <x:c r="E41" t="n">
        <x:v>1</x:v>
      </x:c>
      <x:c r="F41" t="str">
        <x:v>5022822225732</x:v>
      </x:c>
      <x:c r="G41" t="n">
        <x:v>6</x:v>
      </x:c>
      <x:c r="H41" t="str">
        <x:v>NO - quotation only</x:v>
      </x:c>
      <x:c r="I41" t="str">
        <x:v>NO</x:v>
      </x:c>
    </x:row>
    <x:row r="42">
      <x:c r="A42" t="str">
        <x:v>IONWSCRAPER41P10</x:v>
      </x:c>
      <x:c r="B42" t="str">
        <x:v>Wallpaper Scraper - 4" width - carbon steel blade - mirror polished - red plastic handle - card wrapped with euro slot -...</x:v>
      </x:c>
      <x:c r="C42" s="32" t="n">
        <x:v>0.47</x:v>
      </x:c>
      <x:c r="D42" t="n">
        <x:v>10</x:v>
      </x:c>
      <x:c r="E42" t="n">
        <x:v>1</x:v>
      </x:c>
      <x:c r="F42" t="str">
        <x:v>5022822225749</x:v>
      </x:c>
      <x:c r="G42" t="n">
        <x:v>6</x:v>
      </x:c>
      <x:c r="H42" t="str">
        <x:v>NO - quotation only</x:v>
      </x:c>
      <x:c r="I42" t="str">
        <x:v>NO</x:v>
      </x:c>
    </x:row>
    <x:row r="43">
      <x:c r="A43" t="str">
        <x:v>IONFBLADES4P10</x:v>
      </x:c>
      <x:c r="B43" t="str">
        <x:v>Filling Blades - steel blades - red plastic handles - 1 x 120mm/100mm/80mm/50mm - recycled plastic polybag -  I...</x:v>
      </x:c>
      <x:c r="C43" s="32" t="n">
        <x:v>0.55</x:v>
      </x:c>
      <x:c r="D43" t="n">
        <x:v>10</x:v>
      </x:c>
      <x:c r="E43" t="n">
        <x:v>1</x:v>
      </x:c>
      <x:c r="F43" t="str">
        <x:v>5022822225701</x:v>
      </x:c>
      <x:c r="G43" t="n">
        <x:v>6</x:v>
      </x:c>
      <x:c r="H43" t="str">
        <x:v>NO - quotation only</x:v>
      </x:c>
      <x:c r="I43" t="str">
        <x:v>NO</x:v>
      </x:c>
    </x:row>
    <x:row r="44">
      <x:c r="A44" t="str">
        <x:v>IONA4SPAPER10P10</x:v>
      </x:c>
      <x:c r="B44" t="str">
        <x:v>Assorted Sandpaper - 3 x ﬁne 150 grit, 4 x medium 120 grit, 3 x coarse 60 grit - card envelope with euro slot - tamper se...</x:v>
      </x:c>
      <x:c r="C44" s="32" t="n">
        <x:v>1.28</x:v>
      </x:c>
      <x:c r="D44" t="n">
        <x:v>10</x:v>
      </x:c>
      <x:c r="E44" t="n">
        <x:v>1</x:v>
      </x:c>
      <x:c r="F44" t="str">
        <x:v>5022822225671</x:v>
      </x:c>
      <x:c r="G44" t="n">
        <x:v>6</x:v>
      </x:c>
      <x:c r="H44" t="str">
        <x:v>NO - quotation only</x:v>
      </x:c>
      <x:c r="I44" t="str">
        <x:v>NO</x:v>
      </x:c>
    </x:row>
    <x:row r="45">
      <x:c r="A45" t="str">
        <x:v>IONFOLDKNIFE1P10</x:v>
      </x:c>
      <x:c r="B45" t="str">
        <x:v>Foldable Locking Utility Knife - easy folding - lock open - red aluminium body - belt clip - quick change mechanism - 5 re...</x:v>
      </x:c>
      <x:c r="C45" s="32" t="n">
        <x:v>1.71</x:v>
      </x:c>
      <x:c r="D45" t="n">
        <x:v>10</x:v>
      </x:c>
      <x:c r="E45" t="n">
        <x:v>1</x:v>
      </x:c>
      <x:c r="F45" t="str">
        <x:v>5022822225497</x:v>
      </x:c>
      <x:c r="G45" t="n">
        <x:v>6</x:v>
      </x:c>
      <x:c r="H45" t="str">
        <x:v>NO - quotation only</x:v>
      </x:c>
      <x:c r="I45" t="str">
        <x:v>NO</x:v>
      </x:c>
    </x:row>
    <x:row r="46">
      <x:c r="A46" t="str">
        <x:v>IONUKNIFE1P10</x:v>
      </x:c>
      <x:c r="B46" t="str">
        <x:v>Utility Knife - aluminium alloy - rubberised grip - push button blade change - 1 x SK5 blade in unit - 5 x extra SK5 blades i...</x:v>
      </x:c>
      <x:c r="C46" s="32" t="n">
        <x:v>2.69</x:v>
      </x:c>
      <x:c r="D46" t="n">
        <x:v>10</x:v>
      </x:c>
      <x:c r="E46" t="n">
        <x:v>1</x:v>
      </x:c>
      <x:c r="F46" t="str">
        <x:v>5022822225503</x:v>
      </x:c>
      <x:c r="G46" t="n">
        <x:v>6</x:v>
      </x:c>
      <x:c r="H46" t="str">
        <x:v>NO - quotation only</x:v>
      </x:c>
      <x:c r="I46" t="str">
        <x:v>NO</x:v>
      </x:c>
    </x:row>
    <x:row r="47">
      <x:c r="A47" t="str">
        <x:v>IONCKNIFE1P10</x:v>
      </x:c>
      <x:c r="B47" t="str">
        <x:v>Craft Knife - carbon steel blade - snap off blade - red plastic housing - removeable black cap for blade snapping - blister...</x:v>
      </x:c>
      <x:c r="C47" s="32" t="n">
        <x:v>0.37</x:v>
      </x:c>
      <x:c r="D47" t="n">
        <x:v>10</x:v>
      </x:c>
      <x:c r="E47" t="n">
        <x:v>1</x:v>
      </x:c>
      <x:c r="F47" t="str">
        <x:v>5022822225725</x:v>
      </x:c>
      <x:c r="G47" t="n">
        <x:v>7</x:v>
      </x:c>
      <x:c r="H47" t="str">
        <x:v>NO - quotation only</x:v>
      </x:c>
      <x:c r="I47" t="str">
        <x:v>NO</x:v>
      </x:c>
    </x:row>
    <x:row r="48">
      <x:c r="A48" t="str">
        <x:v>IONPVCGLOVE30P24</x:v>
      </x:c>
      <x:c r="B48" t="str">
        <x:v>Vinyl PVC Gloves - black - IONOS - powder free - latex free - disposable - strong - 30 pack - 1pk box</x:v>
      </x:c>
      <x:c r="C48" s="32" t="n">
        <x:v>0.98</x:v>
      </x:c>
      <x:c r="D48" t="n">
        <x:v>24</x:v>
      </x:c>
      <x:c r="E48" t="n">
        <x:v>1</x:v>
      </x:c>
      <x:c r="F48" t="str">
        <x:v>5022822228368</x:v>
      </x:c>
      <x:c r="G48" t="n">
        <x:v>7</x:v>
      </x:c>
      <x:c r="H48" t="str">
        <x:v>NO - quotation only</x:v>
      </x:c>
      <x:c r="I48" t="str">
        <x:v>NO</x:v>
      </x:c>
    </x:row>
    <x:row r="49">
      <x:c r="A49" t="str">
        <x:v>IONWGLOVES1P10</x:v>
      </x:c>
      <x:c r="B49" t="str">
        <x:v>Work Gloves - general purpose work gloves - black nitrile grip - red elasticated 13G polyester liner - CE printing - Ionos - C...</x:v>
      </x:c>
      <x:c r="C49" s="32" t="n">
        <x:v>0.43</x:v>
      </x:c>
      <x:c r="D49" t="n">
        <x:v>10</x:v>
      </x:c>
      <x:c r="E49" t="n">
        <x:v>1</x:v>
      </x:c>
      <x:c r="F49" t="str">
        <x:v>5022822225596</x:v>
      </x:c>
      <x:c r="G49" t="n">
        <x:v>7</x:v>
      </x:c>
      <x:c r="H49" t="str">
        <x:v>NO - quotation only</x:v>
      </x:c>
      <x:c r="I49" t="str">
        <x:v>NO</x:v>
      </x:c>
    </x:row>
    <x:row r="50">
      <x:c r="A50" t="str">
        <x:v>IONBPLOCK1PK10</x:v>
      </x:c>
      <x:c r="B50" t="str">
        <x:v>Brass Padlock - Ionos - steel shackle - solid brass cyclinder - 3 iron keys - 1 pk - in a Trapped Box</x:v>
      </x:c>
      <x:c r="C50" s="32" t="n">
        <x:v>1.33</x:v>
      </x:c>
      <x:c r="D50" t="n">
        <x:v>10</x:v>
      </x:c>
      <x:c r="E50" t="n">
        <x:v>1</x:v>
      </x:c>
      <x:c r="F50" t="str">
        <x:v>5022822226524</x:v>
      </x:c>
      <x:c r="G50" t="n">
        <x:v>7</x:v>
      </x:c>
      <x:c r="H50" t="str">
        <x:v>NO - quotation only</x:v>
      </x:c>
      <x:c r="I50" t="str">
        <x:v>NO</x:v>
      </x:c>
    </x:row>
    <x:row r="51">
      <x:c r="A51" t="str">
        <x:v>IONACPLOCK1PK10</x:v>
      </x:c>
      <x:c r="B51" t="str">
        <x:v>Aluminium Combination Padlock - steel shackle - zinc alloy cyclinder - brass code wheel (3 numbers) - Black - Ionos - 5...</x:v>
      </x:c>
      <x:c r="C51" s="32" t="n">
        <x:v>1.28</x:v>
      </x:c>
      <x:c r="D51" t="n">
        <x:v>10</x:v>
      </x:c>
      <x:c r="E51" t="n">
        <x:v>1</x:v>
      </x:c>
      <x:c r="F51" t="str">
        <x:v>5022822226548</x:v>
      </x:c>
      <x:c r="G51" t="n">
        <x:v>7</x:v>
      </x:c>
      <x:c r="H51" t="str">
        <x:v>NO - quotation only</x:v>
      </x:c>
      <x:c r="I51" t="str">
        <x:v>NO</x:v>
      </x:c>
    </x:row>
    <x:row r="52">
      <x:c r="A52" t="str">
        <x:v>IONWPPLOCK1PK6</x:v>
      </x:c>
      <x:c r="B52" t="str">
        <x:v>Weather-Proof Padlock - thermoplastic encased steel shackle - zinc alloy cylinder - 2 iron keys - Ionos - 82x49x30...</x:v>
      </x:c>
      <x:c r="C52" s="32" t="n">
        <x:v>1.36</x:v>
      </x:c>
      <x:c r="D52" t="n">
        <x:v>6</x:v>
      </x:c>
      <x:c r="E52" t="n">
        <x:v>1</x:v>
      </x:c>
      <x:c r="F52" t="str">
        <x:v>5022822226531</x:v>
      </x:c>
      <x:c r="G52" t="n">
        <x:v>7</x:v>
      </x:c>
      <x:c r="H52" t="str">
        <x:v>NO - quotation only</x:v>
      </x:c>
      <x:c r="I52" t="str">
        <x:v>NO</x:v>
      </x:c>
    </x:row>
    <x:row r="53">
      <x:c r="A53" t="str">
        <x:v>IONDPLOCK1PK6</x:v>
      </x:c>
      <x:c r="B53" t="str">
        <x:v>Disc Padlock - round rubber coat - hardened steel shackle - solid brass cylinder locking mechanism - 2 steel keys - Io...</x:v>
      </x:c>
      <x:c r="C53" s="32" t="n">
        <x:v>1.93</x:v>
      </x:c>
      <x:c r="D53" t="n">
        <x:v>6</x:v>
      </x:c>
      <x:c r="E53" t="n">
        <x:v>1</x:v>
      </x:c>
      <x:c r="F53" t="str">
        <x:v>5022822226555</x:v>
      </x:c>
      <x:c r="G53" t="n">
        <x:v>7</x:v>
      </x:c>
      <x:c r="H53" t="str">
        <x:v>NO - quotation only</x:v>
      </x:c>
      <x:c r="I53" t="str">
        <x:v>NO</x:v>
      </x:c>
    </x:row>
    <x:row r="54">
      <x:c r="A54" t="str">
        <x:v>IONIHDPLOCK1PK6</x:v>
      </x:c>
      <x:c r="B54" t="str">
        <x:v>Heavy Duty Padlock - Ionos - hardened steel shackle - solid iron body - 3 iron keys - 55x90x19.5mm - 1 pk - in a Trapped...</x:v>
      </x:c>
      <x:c r="C54" s="32" t="n">
        <x:v>2.62</x:v>
      </x:c>
      <x:c r="D54" t="n">
        <x:v>6</x:v>
      </x:c>
      <x:c r="E54" t="n">
        <x:v>1</x:v>
      </x:c>
      <x:c r="F54" t="str">
        <x:v>5022822228382</x:v>
      </x:c>
      <x:c r="G54" t="n">
        <x:v>7</x:v>
      </x:c>
      <x:c r="H54" t="str">
        <x:v>NO - quotation only</x:v>
      </x:c>
      <x:c r="I54" t="str">
        <x:v>NO</x:v>
      </x:c>
    </x:row>
    <x:row r="55">
      <x:c r="A55" t="str">
        <x:v>IONNABSET1P24</x:v>
      </x:c>
      <x:c r="B55" t="str">
        <x:v>Nuts &amp; Bolts Set 1Pk - 76pcs - zinc plated - 36 x bolt (10x4*12/10x4*20/6x4*25/6x5*20/4x5*30) - 40 x nut (30xM4...</x:v>
      </x:c>
      <x:c r="C55" s="32" t="n">
        <x:v>0.5</x:v>
      </x:c>
      <x:c r="D55" t="n">
        <x:v>24</x:v>
      </x:c>
      <x:c r="E55" t="n">
        <x:v>1</x:v>
      </x:c>
      <x:c r="F55" t="str">
        <x:v>5022822228016</x:v>
      </x:c>
      <x:c r="G55" t="n">
        <x:v>8</x:v>
      </x:c>
      <x:c r="H55" t="str">
        <x:v>NO - quotation only</x:v>
      </x:c>
      <x:c r="I55" t="str">
        <x:v>NO</x:v>
      </x:c>
    </x:row>
    <x:row r="56">
      <x:c r="A56" t="str">
        <x:v>IONPASSET1P24</x:v>
      </x:c>
      <x:c r="B56" t="str">
        <x:v>Plugs &amp; Screws Set 1Pk - 70pcs - zinc plated screws 5x4*38/14x3.5*25/10x4*30/6x5*38 - wall plugs 5x6*30 yello...</x:v>
      </x:c>
      <x:c r="C56" s="32" t="n">
        <x:v>0.55</x:v>
      </x:c>
      <x:c r="D56" t="n">
        <x:v>24</x:v>
      </x:c>
      <x:c r="E56" t="n">
        <x:v>1</x:v>
      </x:c>
      <x:c r="F56" t="str">
        <x:v>5022822228023</x:v>
      </x:c>
      <x:c r="G56" t="n">
        <x:v>8</x:v>
      </x:c>
      <x:c r="H56" t="str">
        <x:v>NO - quotation only</x:v>
      </x:c>
      <x:c r="I56" t="str">
        <x:v>NO</x:v>
      </x:c>
    </x:row>
    <x:row r="57">
      <x:c r="A57" t="str">
        <x:v>IONMNSET1P24</x:v>
      </x:c>
      <x:c r="B57" t="str">
        <x:v>Mixed Nails Set 1Pk - 70pcs - zinc plated - 20 x 1.4x19mm/10 x 1.8x30mm/10 x 2.0x40mm/10 x 2.3x50mm/20 x 2.9x63mm...</x:v>
      </x:c>
      <x:c r="C57" s="32" t="n">
        <x:v>0.51</x:v>
      </x:c>
      <x:c r="D57" t="n">
        <x:v>24</x:v>
      </x:c>
      <x:c r="E57" t="n">
        <x:v>1</x:v>
      </x:c>
      <x:c r="F57" t="str">
        <x:v>5022822228535</x:v>
      </x:c>
      <x:c r="G57" t="n">
        <x:v>8</x:v>
      </x:c>
      <x:c r="H57" t="str">
        <x:v>NO - quotation only</x:v>
      </x:c>
      <x:c r="I57" t="str">
        <x:v>NO</x:v>
      </x:c>
    </x:row>
    <x:row r="58">
      <x:c r="A58" t="str">
        <x:v>IONSBOLT1P12</x:v>
      </x:c>
      <x:c r="B58" t="str">
        <x:v>Sliding Bolt - Stainless Steel - IONOS - 35*96*0.8mm - 1pk box</x:v>
      </x:c>
      <x:c r="C58" s="32" t="n">
        <x:v>0.35</x:v>
      </x:c>
      <x:c r="D58" t="n">
        <x:v>12</x:v>
      </x:c>
      <x:c r="E58" t="n">
        <x:v>1</x:v>
      </x:c>
      <x:c r="F58" t="str">
        <x:v>5022822228702</x:v>
      </x:c>
      <x:c r="G58" t="n">
        <x:v>8</x:v>
      </x:c>
      <x:c r="H58" t="str">
        <x:v>NO - quotation only</x:v>
      </x:c>
      <x:c r="I58" t="str">
        <x:v>NO</x:v>
      </x:c>
    </x:row>
    <x:row r="59">
      <x:c r="A59" t="str">
        <x:v>ION3PSCLAMP4P12</x:v>
      </x:c>
      <x:c r="B59" t="str">
        <x:v>IONOS - 3" plastic clamp - backing card - 4 pack</x:v>
      </x:c>
      <x:c r="C59" s="32" t="n">
        <x:v>0.6</x:v>
      </x:c>
      <x:c r="D59" t="n">
        <x:v>12</x:v>
      </x:c>
      <x:c r="E59" t="n">
        <x:v>1</x:v>
      </x:c>
      <x:c r="F59" t="str">
        <x:v>5022822229334</x:v>
      </x:c>
      <x:c r="G59" t="n">
        <x:v>8</x:v>
      </x:c>
      <x:c r="H59" t="str">
        <x:v>NO - quotation only</x:v>
      </x:c>
      <x:c r="I59" t="str">
        <x:v>NO</x:v>
      </x:c>
    </x:row>
    <x:row r="60">
      <x:c r="A60" t="str">
        <x:v>IONRSTRAPS2P12</x:v>
      </x:c>
      <x:c r="B60" t="str">
        <x:v>Ratchet straps- 2pk - 25mm x 4.5M - rubberised ﬁnish - IONOS</x:v>
      </x:c>
      <x:c r="C60" s="32" t="n">
        <x:v>3.85</x:v>
      </x:c>
      <x:c r="D60" t="n">
        <x:v>12</x:v>
      </x:c>
      <x:c r="E60" t="n">
        <x:v>1</x:v>
      </x:c>
      <x:c r="F60" t="str">
        <x:v>5022822228955</x:v>
      </x:c>
      <x:c r="G60" t="n">
        <x:v>8</x:v>
      </x:c>
      <x:c r="H60" t="str">
        <x:v>NO - quotation only</x:v>
      </x:c>
      <x:c r="I60" t="str">
        <x:v>NO</x:v>
      </x:c>
    </x:row>
    <x:row r="61">
      <x:c r="A61" t="str">
        <x:v>ION14SOCKSET1P12</x:v>
      </x:c>
      <x:c r="B61" t="str">
        <x:v>IONOS - 1/4" socket set - 10 x hex sockets 4-13mm - 100mm extension bar - Shrink wrapped in plastic housing - 1 pack</x:v>
      </x:c>
      <x:c r="C61" s="32" t="n">
        <x:v>1.7</x:v>
      </x:c>
      <x:c r="D61" t="n">
        <x:v>12</x:v>
      </x:c>
      <x:c r="E61" t="n">
        <x:v>1</x:v>
      </x:c>
      <x:c r="F61" t="str">
        <x:v>5022822229235</x:v>
      </x:c>
      <x:c r="G61" t="n">
        <x:v>8</x:v>
      </x:c>
      <x:c r="H61" t="str">
        <x:v>NO - quotation only</x:v>
      </x:c>
      <x:c r="I61" t="str">
        <x:v>NO</x:v>
      </x:c>
    </x:row>
    <x:row r="62">
      <x:c r="A62" t="str">
        <x:v>ION12SOCKSET1P6</x:v>
      </x:c>
      <x:c r="B62" t="str">
        <x:v>IONOS - 1/2" socket set - 10 x hex sockets 8-24mm - 100mm extension bar - Shrink wrapped in plastic housing - 1 pack</x:v>
      </x:c>
      <x:c r="C62" s="32" t="n">
        <x:v>3.35</x:v>
      </x:c>
      <x:c r="D62" t="n">
        <x:v>6</x:v>
      </x:c>
      <x:c r="E62" t="n">
        <x:v>1</x:v>
      </x:c>
      <x:c r="F62" t="str">
        <x:v>5022822229242</x:v>
      </x:c>
      <x:c r="G62" t="n">
        <x:v>8</x:v>
      </x:c>
      <x:c r="H62" t="str">
        <x:v>NO - quotation only</x:v>
      </x:c>
      <x:c r="I62" t="str">
        <x:v>NO</x:v>
      </x:c>
    </x:row>
    <x:row r="63">
      <x:c r="A63" t="str">
        <x:v>IONBEHEXKEYS1P10</x:v>
      </x:c>
      <x:c r="B63" t="str">
        <x:v>IONOS - ball end hex key set - 9 pcs - chromium ﬁnish - clam shell - 1 pack</x:v>
      </x:c>
      <x:c r="C63" s="32" t="n">
        <x:v>1.3</x:v>
      </x:c>
      <x:c r="D63" t="n">
        <x:v>10</x:v>
      </x:c>
      <x:c r="E63" t="n">
        <x:v>1</x:v>
      </x:c>
      <x:c r="F63" t="str">
        <x:v>5022822229266</x:v>
      </x:c>
      <x:c r="G63" t="n">
        <x:v>9</x:v>
      </x:c>
      <x:c r="H63" t="str">
        <x:v>NO - quotation only</x:v>
      </x:c>
      <x:c r="I63" t="str">
        <x:v>NO</x:v>
      </x:c>
    </x:row>
    <x:row r="64">
      <x:c r="A64" t="str">
        <x:v>IONCCUTDISC10P12</x:v>
      </x:c>
      <x:c r="B64" t="str">
        <x:v>IONOS - circular cutting disc - 115mm x 1mm - 10 pack - stainless steel - Shrink wrapped with insert card and label ...</x:v>
      </x:c>
      <x:c r="C64" s="32" t="n">
        <x:v>1.95</x:v>
      </x:c>
      <x:c r="D64" t="n">
        <x:v>12</x:v>
      </x:c>
      <x:c r="E64" t="n">
        <x:v>1</x:v>
      </x:c>
      <x:c r="F64" t="str">
        <x:v>5022822229358</x:v>
      </x:c>
      <x:c r="G64" t="n">
        <x:v>9</x:v>
      </x:c>
      <x:c r="H64" t="str">
        <x:v>NO - quotation only</x:v>
      </x:c>
      <x:c r="I64" t="str">
        <x:v>NO</x:v>
      </x:c>
    </x:row>
    <x:row r="65">
      <x:c r="A65" t="str">
        <x:v>IONCMSDISC2P24</x:v>
      </x:c>
      <x:c r="B65" t="str">
        <x:v>IONOS - circular metal sanding disc - 2 pack - 115mm - aluminium oxide grit - 13200 rpm - Shrink wrapped with inse...</x:v>
      </x:c>
      <x:c r="C65" s="32" t="n">
        <x:v>0.7</x:v>
      </x:c>
      <x:c r="D65" t="n">
        <x:v>24</x:v>
      </x:c>
      <x:c r="E65" t="n">
        <x:v>1</x:v>
      </x:c>
      <x:c r="F65" t="str">
        <x:v>5022822229365</x:v>
      </x:c>
      <x:c r="G65" t="n">
        <x:v>9</x:v>
      </x:c>
      <x:c r="H65" t="str">
        <x:v>NO - quotation only</x:v>
      </x:c>
      <x:c r="I65" t="str">
        <x:v>NO</x:v>
      </x:c>
    </x:row>
    <x:row r="66">
      <x:c r="A66" t="str">
        <x:v>IONCWBRUSH1P12</x:v>
      </x:c>
      <x:c r="B66" t="str">
        <x:v>IONOS - circular wire brush - 150mm - crimped steel wire - brass colour - reducing bushes - 1 pack - 10 x bore adaptor...</x:v>
      </x:c>
      <x:c r="C66" s="32" t="n">
        <x:v>1.8</x:v>
      </x:c>
      <x:c r="D66" t="n">
        <x:v>12</x:v>
      </x:c>
      <x:c r="E66" t="n">
        <x:v>1</x:v>
      </x:c>
      <x:c r="F66" t="str">
        <x:v>5022822229389</x:v>
      </x:c>
      <x:c r="G66" t="n">
        <x:v>9</x:v>
      </x:c>
      <x:c r="H66" t="str">
        <x:v>NO - quotation only</x:v>
      </x:c>
      <x:c r="I66" t="str">
        <x:v>NO</x:v>
      </x:c>
    </x:row>
    <x:row r="67">
      <x:c r="A67" t="str">
        <x:v>ION3WCBRUSH1P12</x:v>
      </x:c>
      <x:c r="B67" t="str">
        <x:v>IONOS - wire cup brush - 3" - twisted bristles - m14 x 2 thread - 1 pack - Hanging card box</x:v>
      </x:c>
      <x:c r="C67" s="32" t="n">
        <x:v>0.6</x:v>
      </x:c>
      <x:c r="D67" t="n">
        <x:v>12</x:v>
      </x:c>
      <x:c r="E67" t="n">
        <x:v>1</x:v>
      </x:c>
      <x:c r="F67" t="str">
        <x:v>5022822229396</x:v>
      </x:c>
      <x:c r="G67" t="n">
        <x:v>9</x:v>
      </x:c>
      <x:c r="H67" t="str">
        <x:v>NO - quotation only</x:v>
      </x:c>
      <x:c r="I67" t="str">
        <x:v>NO</x:v>
      </x:c>
    </x:row>
    <x:row r="68">
      <x:c r="A68" t="str">
        <x:v>ION3WCHISEL1P6</x:v>
      </x:c>
      <x:c r="B68" t="str">
        <x:v>IONOS - wood chisel set - 3 pcs - satin ﬁnish - 12mm, 19mm, 25mm - carbon steel - clam shell - 1 pack</x:v>
      </x:c>
      <x:c r="C68" s="32" t="n">
        <x:v>3.2</x:v>
      </x:c>
      <x:c r="D68" t="n">
        <x:v>6</x:v>
      </x:c>
      <x:c r="E68" t="n">
        <x:v>1</x:v>
      </x:c>
      <x:c r="F68" t="str">
        <x:v>5022822229471</x:v>
      </x:c>
      <x:c r="G68" t="n">
        <x:v>9</x:v>
      </x:c>
      <x:c r="H68" t="str">
        <x:v>NO - quotation only</x:v>
      </x:c>
      <x:c r="I68" t="str">
        <x:v>NO</x:v>
      </x:c>
    </x:row>
    <x:row r="69">
      <x:c r="A69" t="str">
        <x:v>IONSGLOVES1P10</x:v>
      </x:c>
      <x:c r="B69" t="str">
        <x:v>IONOS - suede gloves - class a &amp; b material - header card - 1 pack</x:v>
      </x:c>
      <x:c r="C69" s="32" t="n">
        <x:v>1.5</x:v>
      </x:c>
      <x:c r="D69" t="n">
        <x:v>10</x:v>
      </x:c>
      <x:c r="E69" t="n">
        <x:v>1</x:v>
      </x:c>
      <x:c r="F69" t="str">
        <x:v>5022822229501</x:v>
      </x:c>
      <x:c r="G69" t="n">
        <x:v>9</x:v>
      </x:c>
      <x:c r="H69" t="str">
        <x:v>NO - quotation only</x:v>
      </x:c>
      <x:c r="I69" t="str">
        <x:v>NO</x:v>
      </x:c>
    </x:row>
    <x:row r="70">
      <x:c r="A70" t="str">
        <x:v>IONHSBLADE5P12</x:v>
      </x:c>
      <x:c r="B70" t="str">
        <x:v>IONOS - hacksaw blades - 5 pack - high carbon steel - 12" x 12.2mm - HRC50-55 teeth - Hanging card sleeve</x:v>
      </x:c>
      <x:c r="C70" s="32" t="n">
        <x:v>0.55</x:v>
      </x:c>
      <x:c r="D70" t="n">
        <x:v>12</x:v>
      </x:c>
      <x:c r="E70" t="n">
        <x:v>1</x:v>
      </x:c>
      <x:c r="F70" t="str">
        <x:v>5022822229198</x:v>
      </x:c>
      <x:c r="G70" t="n">
        <x:v>9</x:v>
      </x:c>
      <x:c r="H70" t="str">
        <x:v>NO - quotation only</x:v>
      </x:c>
      <x:c r="I70" t="str">
        <x:v>NO</x:v>
      </x:c>
    </x:row>
    <x:row r="71">
      <x:c r="A71" t="str">
        <x:v>ION36PCSDSET1P6</x:v>
      </x:c>
      <x:c r="B71" t="str">
        <x:v>IONOS - screwdriver set - 36 pcs - 12 x precision bits - 20 pcs drill bits - 1 pc ratchet driver - 1 pc precision screwdrive...</x:v>
      </x:c>
      <x:c r="C71" s="32" t="n">
        <x:v>3.6</x:v>
      </x:c>
      <x:c r="D71" t="n">
        <x:v>6</x:v>
      </x:c>
      <x:c r="E71" t="n">
        <x:v>1</x:v>
      </x:c>
      <x:c r="F71" t="str">
        <x:v>5022822229259</x:v>
      </x:c>
      <x:c r="G71" t="n">
        <x:v>10</x:v>
      </x:c>
      <x:c r="H71" t="str">
        <x:v>NO - quotation only</x:v>
      </x:c>
      <x:c r="I71" t="str">
        <x:v>NO</x:v>
      </x:c>
    </x:row>
    <x:row r="72">
      <x:c r="A72" t="str">
        <x:v>IONFWSPAD4P24</x:v>
      </x:c>
      <x:c r="B72" t="str">
        <x:v>IONOS - ﬂap wheel sanding pad - 4 pack - 80 grit - Hanging box</x:v>
      </x:c>
      <x:c r="C72" s="32" t="n">
        <x:v>0.8</x:v>
      </x:c>
      <x:c r="D72" t="n">
        <x:v>24</x:v>
      </x:c>
      <x:c r="E72" t="n">
        <x:v>1</x:v>
      </x:c>
      <x:c r="F72" t="str">
        <x:v>5022822229372</x:v>
      </x:c>
      <x:c r="G72" t="n">
        <x:v>10</x:v>
      </x:c>
      <x:c r="H72" t="str">
        <x:v>NO - quotation only</x:v>
      </x:c>
      <x:c r="I72" t="str">
        <x:v>NO</x:v>
      </x:c>
    </x:row>
    <x:row r="73">
      <x:c r="A73" t="str">
        <x:v>IONMASODBSET1P12</x:v>
      </x:c>
      <x:c r="B73" t="str">
        <x:v>IONOS - masonry drill bit set - 5 pieces - 4,5,6,8,10mm - Plastic Housing with sticker - 1 pack</x:v>
      </x:c>
      <x:c r="C73" s="32" t="n">
        <x:v>1.05</x:v>
      </x:c>
      <x:c r="D73" t="n">
        <x:v>12</x:v>
      </x:c>
      <x:c r="E73" t="n">
        <x:v>1</x:v>
      </x:c>
      <x:c r="F73" t="str">
        <x:v>5022822229419</x:v>
      </x:c>
      <x:c r="G73" t="n">
        <x:v>10</x:v>
      </x:c>
      <x:c r="H73" t="str">
        <x:v>NO - quotation only</x:v>
      </x:c>
      <x:c r="I73" t="str">
        <x:v>NO</x:v>
      </x:c>
    </x:row>
    <x:row r="74">
      <x:c r="A74" t="str">
        <x:v>IONMETADBSET1P12</x:v>
      </x:c>
      <x:c r="B74" t="str">
        <x:v>IONOS - metal drill bit set - 6 pieces - 2,3,4,5,6,8mm - Plastic Housing with sticker - 1 pack</x:v>
      </x:c>
      <x:c r="C74" s="32" t="n">
        <x:v>1.05</x:v>
      </x:c>
      <x:c r="D74" t="n">
        <x:v>12</x:v>
      </x:c>
      <x:c r="E74" t="n">
        <x:v>1</x:v>
      </x:c>
      <x:c r="F74" t="str">
        <x:v>5022822229426</x:v>
      </x:c>
      <x:c r="G74" t="n">
        <x:v>10</x:v>
      </x:c>
      <x:c r="H74" t="str">
        <x:v>NO - quotation only</x:v>
      </x:c>
      <x:c r="I74" t="str">
        <x:v>NO</x:v>
      </x:c>
    </x:row>
    <x:row r="75">
      <x:c r="A75" t="str">
        <x:v>IONWOODDBSET1P12</x:v>
      </x:c>
      <x:c r="B75" t="str">
        <x:v>IONOS - wood drill bit set - 7 pieces - 3,4,5,6,7,8,10mm - Plastic Housing with sticker - 1 pack</x:v>
      </x:c>
      <x:c r="C75" s="32" t="n">
        <x:v>0.9</x:v>
      </x:c>
      <x:c r="D75" t="n">
        <x:v>12</x:v>
      </x:c>
      <x:c r="E75" t="n">
        <x:v>1</x:v>
      </x:c>
      <x:c r="F75" t="str">
        <x:v>5022822229433</x:v>
      </x:c>
      <x:c r="G75" t="n">
        <x:v>10</x:v>
      </x:c>
      <x:c r="H75" t="str">
        <x:v>NO - quotation only</x:v>
      </x:c>
      <x:c r="I75" t="str">
        <x:v>NO</x:v>
      </x:c>
    </x:row>
    <x:row r="76">
      <x:c r="A76" t="str">
        <x:v>IONMFILESET1P12</x:v>
      </x:c>
      <x:c r="B76" t="str">
        <x:v>IONOS - micro ﬁle set - 6 piece - 2 colour grip handle - clam shell - 1 pack</x:v>
      </x:c>
      <x:c r="C76" s="32" t="n">
        <x:v>1.6</x:v>
      </x:c>
      <x:c r="D76" t="n">
        <x:v>12</x:v>
      </x:c>
      <x:c r="E76" t="n">
        <x:v>1</x:v>
      </x:c>
      <x:c r="F76" t="str">
        <x:v>5022822229457</x:v>
      </x:c>
      <x:c r="G76" t="n">
        <x:v>10</x:v>
      </x:c>
      <x:c r="H76" t="str">
        <x:v>NO - quotation only</x:v>
      </x:c>
      <x:c r="I76" t="str">
        <x:v>NO</x:v>
      </x:c>
    </x:row>
    <x:row r="77">
      <x:c r="A77" t="str">
        <x:v>IONSLSSTONE1P12</x:v>
      </x:c>
      <x:c r="B77" t="str">
        <x:v>IONOS - slate sharpening stone - aluminium oxide - 120/240 grit - 1 pack - Hanging card box</x:v>
      </x:c>
      <x:c r="C77" s="32" t="n">
        <x:v>0.45</x:v>
      </x:c>
      <x:c r="D77" t="n">
        <x:v>12</x:v>
      </x:c>
      <x:c r="E77" t="n">
        <x:v>1</x:v>
      </x:c>
      <x:c r="F77" t="str">
        <x:v>5022822229488</x:v>
      </x:c>
      <x:c r="G77" t="n">
        <x:v>10</x:v>
      </x:c>
      <x:c r="H77" t="str">
        <x:v>NO - quotation only</x:v>
      </x:c>
      <x:c r="I77" t="str">
        <x:v>NO</x:v>
      </x:c>
    </x:row>
    <x:row r="78">
      <x:c r="A78" t="str">
        <x:v>IONEARPLUGS1P24</x:v>
      </x:c>
      <x:c r="B78" t="str">
        <x:v>IONOS - ear plugs - bullet style - orange - 10 pack - Polybag and header card</x:v>
      </x:c>
      <x:c r="C78" s="32" t="n">
        <x:v>0.4</x:v>
      </x:c>
      <x:c r="D78" t="n">
        <x:v>24</x:v>
      </x:c>
      <x:c r="E78" t="n">
        <x:v>1</x:v>
      </x:c>
      <x:c r="F78" t="str">
        <x:v>5022822229518</x:v>
      </x:c>
      <x:c r="G78" t="n">
        <x:v>10</x:v>
      </x:c>
      <x:c r="H78" t="str">
        <x:v>NO - quotation only</x:v>
      </x:c>
      <x:c r="I78" t="str">
        <x:v>NO</x:v>
      </x:c>
    </x:row>
    <x:row r="79">
      <x:c r="A79" t="str">
        <x:v>IONDUSTMASK5P12</x:v>
      </x:c>
      <x:c r="B79" t="str">
        <x:v>IONOS - dust mask - FFP2 - wire adjustment - soft nose foam - 5 pack - bag and header card</x:v>
      </x:c>
      <x:c r="C79" s="32" t="n">
        <x:v>1.2</x:v>
      </x:c>
      <x:c r="D79" t="n">
        <x:v>12</x:v>
      </x:c>
      <x:c r="E79" t="n">
        <x:v>1</x:v>
      </x:c>
      <x:c r="F79" t="str">
        <x:v>5022822229532</x:v>
      </x:c>
      <x:c r="G79" t="n">
        <x:v>11</x:v>
      </x:c>
      <x:c r="H79" t="str">
        <x:v>NO - quotation only</x:v>
      </x:c>
      <x:c r="I79" t="str">
        <x:v>NO</x:v>
      </x:c>
    </x:row>
    <x:row r="80">
      <x:c r="A80" t="str">
        <x:v>IONPEGOGGLES1P12</x:v>
      </x:c>
      <x:c r="B80" t="str">
        <x:v>IONOS - protective eye goggles - polycarbonate lenses - 1.5mm thick - bag - 1 pack</x:v>
      </x:c>
      <x:c r="C80" s="32" t="n">
        <x:v>0.8</x:v>
      </x:c>
      <x:c r="D80" t="n">
        <x:v>12</x:v>
      </x:c>
      <x:c r="E80" t="n">
        <x:v>1</x:v>
      </x:c>
      <x:c r="F80" t="str">
        <x:v>5022822229556</x:v>
      </x:c>
      <x:c r="G80" t="n">
        <x:v>11</x:v>
      </x:c>
      <x:c r="H80" t="str">
        <x:v>NO - quotation only</x:v>
      </x:c>
      <x:c r="I80" t="str">
        <x:v>NO</x:v>
      </x:c>
    </x:row>
    <x:row r="81">
      <x:c r="A81" t="str">
        <x:v>ION5PTROWEL1P12</x:v>
      </x:c>
      <x:c r="B81" t="str">
        <x:v>IONOS - pointing trowel - 5" - carbon steel - 1mm thick - neck dia. 8mm - dual colour plastic grip - Barcode Sticker on bla...</x:v>
      </x:c>
      <x:c r="C81" s="32" t="n">
        <x:v>0.9</x:v>
      </x:c>
      <x:c r="D81" t="n">
        <x:v>12</x:v>
      </x:c>
      <x:c r="E81" t="n">
        <x:v>1</x:v>
      </x:c>
      <x:c r="F81" t="str">
        <x:v>5022822229563</x:v>
      </x:c>
      <x:c r="G81" t="n">
        <x:v>11</x:v>
      </x:c>
      <x:c r="H81" t="str">
        <x:v>NO - quotation only</x:v>
      </x:c>
      <x:c r="I81" t="str">
        <x:v>NO</x:v>
      </x:c>
    </x:row>
    <x:row r="82">
      <x:c r="A82" t="str">
        <x:v>IONCFLOAT1P6</x:v>
      </x:c>
      <x:c r="B82" t="str">
        <x:v>IONOS - builder's ﬂoat - 280 x 100 x 0.8mm - stainless steel - 1 pack - Barcode Sticker on blade</x:v>
      </x:c>
      <x:c r="C82" s="32" t="n">
        <x:v>2.1</x:v>
      </x:c>
      <x:c r="D82" t="n">
        <x:v>6</x:v>
      </x:c>
      <x:c r="E82" t="n">
        <x:v>1</x:v>
      </x:c>
      <x:c r="F82" t="str">
        <x:v>5022822229570</x:v>
      </x:c>
      <x:c r="G82" t="n">
        <x:v>11</x:v>
      </x:c>
      <x:c r="H82" t="str">
        <x:v>NO - quotation only</x:v>
      </x:c>
      <x:c r="I82" t="str">
        <x:v>NO</x:v>
      </x:c>
    </x:row>
    <x:row r="83">
      <x:c r="A83" t="str">
        <x:v>ION12CROWBAR1P12</x:v>
      </x:c>
      <x:c r="B83" t="str">
        <x:v>IONOS - crowbar - 12" - 1 pack - black metal ﬁnish - carbon steel - backing card</x:v>
      </x:c>
      <x:c r="C83" s="32" t="n">
        <x:v>1.1</x:v>
      </x:c>
      <x:c r="D83" t="n">
        <x:v>12</x:v>
      </x:c>
      <x:c r="E83" t="n">
        <x:v>1</x:v>
      </x:c>
      <x:c r="F83" t="str">
        <x:v>5022822229587</x:v>
      </x:c>
      <x:c r="G83" t="n">
        <x:v>11</x:v>
      </x:c>
      <x:c r="H83" t="str">
        <x:v>NO - quotation only</x:v>
      </x:c>
      <x:c r="I83" t="str">
        <x:v>NO</x:v>
      </x:c>
    </x:row>
    <x:row r="84">
      <x:c r="A84" t="str">
        <x:v>IONBCORD2P12</x:v>
      </x:c>
      <x:c r="B84" t="str">
        <x:v>IONOS - bungee cord set - 2 piece - polypropylene - blue/ black - 90cm x 8mm - electrophoretic black ﬁnish hooks - 1...</x:v>
      </x:c>
      <x:c r="C84" s="32" t="n">
        <x:v>0.65</x:v>
      </x:c>
      <x:c r="D84" t="n">
        <x:v>12</x:v>
      </x:c>
      <x:c r="E84" t="n">
        <x:v>1</x:v>
      </x:c>
      <x:c r="F84" t="str">
        <x:v>5022822229617</x:v>
      </x:c>
      <x:c r="G84" t="n">
        <x:v>11</x:v>
      </x:c>
      <x:c r="H84" t="str">
        <x:v>NO - quotation only</x:v>
      </x:c>
      <x:c r="I84" t="str">
        <x:v>NO</x:v>
      </x:c>
    </x:row>
    <x:row r="85">
      <x:c r="A85" t="str">
        <x:v>IONTARPAULIN1P12</x:v>
      </x:c>
      <x:c r="B85" t="str">
        <x:v>IONOS - plastic tarpaulin - 1.8M x 1.2M - 1 pack - Polybag and header card</x:v>
      </x:c>
      <x:c r="C85" s="32" t="n">
        <x:v>1.95</x:v>
      </x:c>
      <x:c r="D85" t="n">
        <x:v>12</x:v>
      </x:c>
      <x:c r="E85" t="n">
        <x:v>1</x:v>
      </x:c>
      <x:c r="F85" t="str">
        <x:v>5022822229624</x:v>
      </x:c>
      <x:c r="G85" t="n">
        <x:v>11</x:v>
      </x:c>
      <x:c r="H85" t="str">
        <x:v>NO - quotation only</x:v>
      </x:c>
      <x:c r="I85" t="str">
        <x:v>NO</x:v>
      </x:c>
    </x:row>
    <x:row r="86">
      <x:c r="A86" t="str">
        <x:v>IONPLUMBBOB1P12</x:v>
      </x:c>
      <x:c r="B86" t="str">
        <x:v>IONOS - plumb bob - cyclinder type - 67mm - string length 10M - 1 pack - Hanging card box</x:v>
      </x:c>
      <x:c r="C86" s="32" t="n">
        <x:v>0.6</x:v>
      </x:c>
      <x:c r="D86" t="n">
        <x:v>12</x:v>
      </x:c>
      <x:c r="E86" t="n">
        <x:v>1</x:v>
      </x:c>
      <x:c r="F86" t="str">
        <x:v>5022822229631</x:v>
      </x:c>
      <x:c r="G86" t="n">
        <x:v>11</x:v>
      </x:c>
      <x:c r="H86" t="str">
        <x:v>NO - quotation only</x:v>
      </x:c>
      <x:c r="I86" t="str">
        <x:v>NO</x:v>
      </x:c>
    </x:row>
    <x:row r="87">
      <x:c r="A87" t="str">
        <x:v>IONESDRIVERS1P6</x:v>
      </x:c>
      <x:c r="B87" t="str">
        <x:v>IONOS - electrician's screwdriver set - insulated handles - 6 piece - Hanging card box with windows</x:v>
      </x:c>
      <x:c r="C87" s="32" t="n">
        <x:v>4</x:v>
      </x:c>
      <x:c r="D87" t="n">
        <x:v>6</x:v>
      </x:c>
      <x:c r="E87" t="n">
        <x:v>1</x:v>
      </x:c>
      <x:c r="F87" t="str">
        <x:v>5022822229648</x:v>
      </x:c>
      <x:c r="G87" t="n">
        <x:v>12</x:v>
      </x:c>
      <x:c r="H87" t="str">
        <x:v>NO - quotation only</x:v>
      </x:c>
      <x:c r="I87" t="str">
        <x:v>NO</x:v>
      </x:c>
    </x:row>
    <x:row r="88">
      <x:c r="A88" t="str">
        <x:v>IONROLLTRAY91P10</x:v>
      </x:c>
      <x:c r="B88" t="str">
        <x:v>IONOS - paint roller tray - 9" - 5 x 9" rollers, 1 x zinc plated frame, 1 x plastic handle, 1 x 9" black tray - polyester materi...</x:v>
      </x:c>
      <x:c r="C88" s="32" t="n">
        <x:v>2.92</x:v>
      </x:c>
      <x:c r="D88" t="n">
        <x:v>10</x:v>
      </x:c>
      <x:c r="E88" t="n">
        <x:v>1</x:v>
      </x:c>
      <x:c r="F88" t="str">
        <x:v>5022822229662</x:v>
      </x:c>
      <x:c r="G88" t="n">
        <x:v>12</x:v>
      </x:c>
      <x:c r="H88" t="str">
        <x:v>NO - quotation only</x:v>
      </x:c>
      <x:c r="I88" t="str">
        <x:v>NO</x:v>
      </x:c>
    </x:row>
    <x:row r="89">
      <x:c r="A89" t="str">
        <x:v>IONFPBRUSH1P12</x:v>
      </x:c>
      <x:c r="B89" t="str">
        <x:v>IONOS - fence paint brush - 4.7" - 40% bristle, 60% ﬁlament - plastic handle - 1 pack - Hanging card sleeve</x:v>
      </x:c>
      <x:c r="C89" s="32" t="n">
        <x:v>0.75</x:v>
      </x:c>
      <x:c r="D89" t="n">
        <x:v>12</x:v>
      </x:c>
      <x:c r="E89" t="n">
        <x:v>1</x:v>
      </x:c>
      <x:c r="F89" t="str">
        <x:v>5022822229679</x:v>
      </x:c>
      <x:c r="G89" t="n">
        <x:v>12</x:v>
      </x:c>
      <x:c r="H89" t="str">
        <x:v>NO - quotation only</x:v>
      </x:c>
      <x:c r="I89" t="str">
        <x:v>NO</x:v>
      </x:c>
    </x:row>
    <x:row r="90">
      <x:c r="A90" t="str">
        <x:v>IONFSSBLOCK4P12</x:v>
      </x:c>
      <x:c r="B90" t="str">
        <x:v>IONOS - foam sanding block set - 4 piece - 60, 100, 180, 220 - low density foam - 1 pack - Shrink Wrapped with insert card</x:v>
      </x:c>
      <x:c r="C90" s="32" t="n">
        <x:v>0.6</x:v>
      </x:c>
      <x:c r="D90" t="n">
        <x:v>12</x:v>
      </x:c>
      <x:c r="E90" t="n">
        <x:v>1</x:v>
      </x:c>
      <x:c r="F90" t="str">
        <x:v>5022822229686</x:v>
      </x:c>
      <x:c r="G90" t="n">
        <x:v>12</x:v>
      </x:c>
      <x:c r="H90" t="str">
        <x:v>NO - quotation only</x:v>
      </x:c>
      <x:c r="I90" t="str">
        <x:v>NO</x:v>
      </x:c>
    </x:row>
    <x:row r="91">
      <x:c r="A91" t="str">
        <x:v>IONDUSTS1P24</x:v>
      </x:c>
      <x:c r="B91" t="str">
        <x:v>IONOS - dust sheets - 3 piece - 2.7M x 1.8M - drop sheet - HDPE - 1 pack - Hanging plastic bag</x:v>
      </x:c>
      <x:c r="C91" s="32" t="n">
        <x:v>0.6</x:v>
      </x:c>
      <x:c r="D91" t="n">
        <x:v>24</x:v>
      </x:c>
      <x:c r="E91" t="n">
        <x:v>1</x:v>
      </x:c>
      <x:c r="F91" t="str">
        <x:v>5022822229693</x:v>
      </x:c>
      <x:c r="G91" t="n">
        <x:v>12</x:v>
      </x:c>
      <x:c r="H91" t="str">
        <x:v>NO - quotation only</x:v>
      </x:c>
      <x:c r="I91" t="str">
        <x:v>NO</x:v>
      </x:c>
    </x:row>
    <x:row r="92">
      <x:c r="A92" t="str">
        <x:v>IONWPSCISSOR1P12</x:v>
      </x:c>
      <x:c r="B92" t="str">
        <x:v>IONOS - wall paper scissors - 13.5" blade - backing card - 1 pack</x:v>
      </x:c>
      <x:c r="C92" s="32" t="n">
        <x:v>0.75</x:v>
      </x:c>
      <x:c r="D92" t="n">
        <x:v>12</x:v>
      </x:c>
      <x:c r="E92" t="n">
        <x:v>1</x:v>
      </x:c>
      <x:c r="F92" t="str">
        <x:v>5022822229310</x:v>
      </x:c>
      <x:c r="G92" t="n">
        <x:v>12</x:v>
      </x:c>
      <x:c r="H92" t="str">
        <x:v>NO - quotation only</x:v>
      </x:c>
      <x:c r="I92" t="str">
        <x:v>NO</x:v>
      </x:c>
    </x:row>
    <x:row r="93">
      <x:c r="A93" t="str">
        <x:v>ION5SBOLT1P12</x:v>
      </x:c>
      <x:c r="B93" t="str">
        <x:v>Sliding Bolt - Carbon Steel Sheet - Black - 5" -  IONOS - 1pk box</x:v>
      </x:c>
      <x:c r="C93" s="32" t="n">
        <x:v>0.65</x:v>
      </x:c>
      <x:c r="D93" t="n">
        <x:v>12</x:v>
      </x:c>
      <x:c r="E93" t="n">
        <x:v>1</x:v>
      </x:c>
      <x:c r="F93" t="str">
        <x:v>5022822230286</x:v>
      </x:c>
      <x:c r="G93" t="n">
        <x:v>12</x:v>
      </x:c>
      <x:c r="H93" t="str">
        <x:v>NO - quotation only</x:v>
      </x:c>
      <x:c r="I93" t="str">
        <x:v>NO</x:v>
      </x:c>
    </x:row>
    <x:row r="94">
      <x:c r="A94" t="str">
        <x:v>ION5LSBOLT1P12</x:v>
      </x:c>
      <x:c r="B94" t="str">
        <x:v>Sliding Bolt - Carbon Steel Sheet - Black - Lockable - 5" - IONOS - 1pk box</x:v>
      </x:c>
      <x:c r="C94" s="32" t="n">
        <x:v>0.85</x:v>
      </x:c>
      <x:c r="D94" t="n">
        <x:v>12</x:v>
      </x:c>
      <x:c r="E94" t="n">
        <x:v>1</x:v>
      </x:c>
      <x:c r="F94" t="str">
        <x:v>5022822230293</x:v>
      </x:c>
      <x:c r="G94" t="n">
        <x:v>12</x:v>
      </x:c>
      <x:c r="H94" t="str">
        <x:v>NO - quotation only</x:v>
      </x:c>
      <x:c r="I94" t="str">
        <x:v>NO</x:v>
      </x:c>
    </x:row>
    <x:row r="95">
      <x:c r="A95" t="str">
        <x:v>IONRMALLET1P6</x:v>
      </x:c>
      <x:c r="B95" t="str">
        <x:v>IONOS - rubber mallet - 16oz - ﬁbreglass handle - nylon - 1 pack - Peelable barcode sticker on shaft</x:v>
      </x:c>
      <x:c r="C95" s="32" t="n">
        <x:v>1.52</x:v>
      </x:c>
      <x:c r="D95" t="n">
        <x:v>6</x:v>
      </x:c>
      <x:c r="E95" t="n">
        <x:v>1</x:v>
      </x:c>
      <x:c r="F95" t="str">
        <x:v>5022822230316</x:v>
      </x:c>
      <x:c r="G95" t="n">
        <x:v>13</x:v>
      </x:c>
      <x:c r="H95" t="str">
        <x:v>NO - quotation only</x:v>
      </x:c>
      <x:c r="I95" t="str">
        <x:v>NO</x:v>
      </x:c>
    </x:row>
    <x:row r="96">
      <x:c r="A96" t="str">
        <x:v>IONPINHAM1P12</x:v>
      </x:c>
      <x:c r="B96" t="str">
        <x:v>IONOS - pin hammer - 14mm - 4oz - hardwood handle - 1 pack - Peelable barcode sticker on shaft</x:v>
      </x:c>
      <x:c r="C96" s="32" t="n">
        <x:v>1.05</x:v>
      </x:c>
      <x:c r="D96" t="n">
        <x:v>12</x:v>
      </x:c>
      <x:c r="E96" t="n">
        <x:v>1</x:v>
      </x:c>
      <x:c r="F96" t="str">
        <x:v>5022822229280</x:v>
      </x:c>
      <x:c r="G96" t="n">
        <x:v>13</x:v>
      </x:c>
      <x:c r="H96" t="str">
        <x:v>NO - quotation only</x:v>
      </x:c>
      <x:c r="I96" t="str">
        <x:v>NO</x:v>
      </x:c>
    </x:row>
    <x:row r="97">
      <x:c r="A97" t="str">
        <x:v>ION16OZBPHAM1P6</x:v>
      </x:c>
      <x:c r="B97" t="str">
        <x:v>IONOS - ball pein hammer - 16oz - ﬁbreglass handle - nylon - 1 pack - Peelable barcode sticker on shaft</x:v>
      </x:c>
      <x:c r="C97" s="32" t="n">
        <x:v>1.95</x:v>
      </x:c>
      <x:c r="D97" t="n">
        <x:v>6</x:v>
      </x:c>
      <x:c r="E97" t="n">
        <x:v>1</x:v>
      </x:c>
      <x:c r="F97" t="str">
        <x:v>5022822229297</x:v>
      </x:c>
      <x:c r="G97" t="n">
        <x:v>13</x:v>
      </x:c>
      <x:c r="H97" t="str">
        <x:v>NO - quotation only</x:v>
      </x:c>
      <x:c r="I97" t="str">
        <x:v>NO</x:v>
      </x:c>
    </x:row>
    <x:row r="98">
      <x:c r="A98" t="str">
        <x:v>ION5FSPIRITL1P4</x:v>
      </x:c>
      <x:c r="B98" t="str">
        <x:v>IONOS - spirit level - 5 foot - 2 handles - 1.5mm thick - precision 1mm/M - Shrink wrapped with label - 1 pack</x:v>
      </x:c>
      <x:c r="C98" s="32" t="n">
        <x:v>6.1</x:v>
      </x:c>
      <x:c r="D98" t="n">
        <x:v>4</x:v>
      </x:c>
      <x:c r="E98" t="n">
        <x:v>1</x:v>
      </x:c>
      <x:c r="F98" t="str">
        <x:v>5022822229327</x:v>
      </x:c>
      <x:c r="G98" t="n">
        <x:v>13</x:v>
      </x:c>
      <x:c r="H98" t="str">
        <x:v>NO - quotation only</x:v>
      </x:c>
      <x:c r="I98" t="str">
        <x:v>NO</x:v>
      </x:c>
    </x:row>
    <x:row r="99">
      <x:c r="A99" t="str">
        <x:v>IONSGFILESET1P6</x:v>
      </x:c>
      <x:c r="B99" t="str">
        <x:v>IONOS - large ﬁle set - 6 piece - soft grip - 5 x 8 inch metal ﬁle, 1 x 8 inch wood ﬁle - high carbon steel - rubber handle -...</x:v>
      </x:c>
      <x:c r="C99" s="32" t="n">
        <x:v>5.7</x:v>
      </x:c>
      <x:c r="D99" t="n">
        <x:v>6</x:v>
      </x:c>
      <x:c r="E99" t="n">
        <x:v>1</x:v>
      </x:c>
      <x:c r="F99" t="str">
        <x:v>5022822229464</x:v>
      </x:c>
      <x:c r="G99" t="n">
        <x:v>13</x:v>
      </x:c>
      <x:c r="H99" t="str">
        <x:v>NO - quotation only</x:v>
      </x:c>
      <x:c r="I99" t="str">
        <x:v>NO</x:v>
      </x:c>
    </x:row>
    <x:row r="100">
      <x:c r="A100" t="str">
        <x:v>IONPPIPECUT1P12</x:v>
      </x:c>
      <x:c r="B100" t="str">
        <x:v>IONOS - plastic pipe cutter - dual colour handle - rubberised grip - metal latch - 33mm - Hanging card box - 1 pack</x:v>
      </x:c>
      <x:c r="C100" s="32" t="n">
        <x:v>2.45</x:v>
      </x:c>
      <x:c r="D100" t="n">
        <x:v>12</x:v>
      </x:c>
      <x:c r="E100" t="n">
        <x:v>1</x:v>
      </x:c>
      <x:c r="F100" t="str">
        <x:v>5022822229594</x:v>
      </x:c>
      <x:c r="G100" t="n">
        <x:v>13</x:v>
      </x:c>
      <x:c r="H100" t="str">
        <x:v>NO - quotation only</x:v>
      </x:c>
      <x:c r="I100" t="str">
        <x:v>NO</x:v>
      </x:c>
    </x:row>
    <x:row r="101">
      <x:c r="A101" t="str">
        <x:v>IONTSAW1P6</x:v>
      </x:c>
      <x:c r="B101" t="str">
        <x:v>IONOS - tenon saw - 65Mn steel - 9 teeth per inch - 12" - card sleeve - 1 pack</x:v>
      </x:c>
      <x:c r="C101" s="32" t="n">
        <x:v>1.65</x:v>
      </x:c>
      <x:c r="D101" t="n">
        <x:v>6</x:v>
      </x:c>
      <x:c r="E101" t="n">
        <x:v>1</x:v>
      </x:c>
      <x:c r="F101" t="str">
        <x:v>5022822229174</x:v>
      </x:c>
      <x:c r="G101" t="n">
        <x:v>13</x:v>
      </x:c>
      <x:c r="H101" t="str">
        <x:v>NO - quotation only</x:v>
      </x:c>
      <x:c r="I101" t="str">
        <x:v>NO</x:v>
      </x:c>
    </x:row>
    <x:row r="102">
      <x:c r="A102" t="str">
        <x:v>IONMSBLOCK1P4</x:v>
      </x:c>
      <x:c r="B102" t="str">
        <x:v>IONOS - mitre saw and block - 65Mn steel - 9 teeth per inch - 22.5, 45 and 90 degree angle cutting - 12" - Shrink wrappe...</x:v>
      </x:c>
      <x:c r="C102" s="32" t="n">
        <x:v>3.4</x:v>
      </x:c>
      <x:c r="D102" t="n">
        <x:v>4</x:v>
      </x:c>
      <x:c r="E102" t="n">
        <x:v>1</x:v>
      </x:c>
      <x:c r="F102" t="str">
        <x:v>5022822229181</x:v>
      </x:c>
      <x:c r="G102" t="n">
        <x:v>13</x:v>
      </x:c>
      <x:c r="H102" t="str">
        <x:v>NO - quotation only</x:v>
      </x:c>
      <x:c r="I102" t="str">
        <x:v>NO</x:v>
      </x:c>
    </x:row>
    <x:row r="103">
      <x:c r="A103" t="str">
        <x:v>IONJHSBLADE1P24</x:v>
      </x:c>
      <x:c r="B103" t="str">
        <x:v>IONOS - junior hacksaw blades - 10 pack - high carbon steel - 24 teeth per inch - 6" - hanging card sleeve</x:v>
      </x:c>
      <x:c r="C103" s="32" t="n">
        <x:v>0.65</x:v>
      </x:c>
      <x:c r="D103" t="n">
        <x:v>24</x:v>
      </x:c>
      <x:c r="E103" t="n">
        <x:v>1</x:v>
      </x:c>
      <x:c r="F103" t="str">
        <x:v>5022822229204</x:v>
      </x:c>
      <x:c r="G103" t="n">
        <x:v>14</x:v>
      </x:c>
      <x:c r="H103" t="str">
        <x:v>NO - quotation only</x:v>
      </x:c>
      <x:c r="I103" t="str">
        <x:v>NO</x:v>
      </x:c>
    </x:row>
    <x:row r="104">
      <x:c r="A104" t="str">
        <x:v>IONCLPLIERS1P10</x:v>
      </x:c>
      <x:c r="B104" t="str">
        <x:v>IONOS - curved locking pliers - 10" - carbon steel - adjustable curved jaw - nickel plated matte ﬁnish - tied to b...</x:v>
      </x:c>
      <x:c r="C104" s="32" t="n">
        <x:v>1.8</x:v>
      </x:c>
      <x:c r="D104" t="n">
        <x:v>10</x:v>
      </x:c>
      <x:c r="E104" t="n">
        <x:v>1</x:v>
      </x:c>
      <x:c r="F104" t="str">
        <x:v>5022822229303</x:v>
      </x:c>
      <x:c r="G104" t="n">
        <x:v>14</x:v>
      </x:c>
      <x:c r="H104" t="str">
        <x:v>NO - quotation only</x:v>
      </x:c>
      <x:c r="I104" t="str">
        <x:v>NO</x:v>
      </x:c>
    </x:row>
    <x:row r="105">
      <x:c r="A105" t="str">
        <x:v>IONMPIPECUT1P12</x:v>
      </x:c>
      <x:c r="B105" t="str">
        <x:v>IONOS - metal pipe cutter - alluminium alloy - cutting size 3-22mm - bearing steel - A3 steel - boxed - card sleeve / PE...</x:v>
      </x:c>
      <x:c r="C105" s="32" t="n">
        <x:v>1.3</x:v>
      </x:c>
      <x:c r="D105" t="n">
        <x:v>12</x:v>
      </x:c>
      <x:c r="E105" t="n">
        <x:v>1</x:v>
      </x:c>
      <x:c r="F105" t="str">
        <x:v>5022822229600</x:v>
      </x:c>
      <x:c r="G105" t="n">
        <x:v>14</x:v>
      </x:c>
      <x:c r="H105" t="str">
        <x:v>NO - quotation only</x:v>
      </x:c>
      <x:c r="I105" t="str">
        <x:v>NO</x:v>
      </x:c>
    </x:row>
    <x:row r="106">
      <x:c r="A106" t="str">
        <x:v>IONSCISSORS2P12</x:v>
      </x:c>
      <x:c r="B106" t="str">
        <x:v>IONOS - scissors - 2 pack - stainless steel - 5.5" and 7.5" blades - ergonomic handle - backing card</x:v>
      </x:c>
      <x:c r="C106" s="32" t="n">
        <x:v>0.8</x:v>
      </x:c>
      <x:c r="D106" t="n">
        <x:v>12</x:v>
      </x:c>
      <x:c r="E106" t="n">
        <x:v>1</x:v>
      </x:c>
      <x:c r="F106" t="str">
        <x:v>5022822229655</x:v>
      </x:c>
      <x:c r="G106" t="n">
        <x:v>14</x:v>
      </x:c>
      <x:c r="H106" t="str">
        <x:v>NO - quotation only</x:v>
      </x:c>
      <x:c r="I106" t="str">
        <x:v>NO</x:v>
      </x:c>
    </x:row>
    <x:row r="107">
      <x:c r="A107" t="str">
        <x:v>IONWIREBRUSH1P12</x:v>
      </x:c>
      <x:c r="B107" t="str">
        <x:v>IONOS - wire brush - wooden handle - 6 x 16 steel wires - barcode sticker - 1 pack</x:v>
      </x:c>
      <x:c r="C107" s="32" t="n">
        <x:v>0.51</x:v>
      </x:c>
      <x:c r="D107" t="n">
        <x:v>12</x:v>
      </x:c>
      <x:c r="E107" t="n">
        <x:v>1</x:v>
      </x:c>
      <x:c r="F107" t="str">
        <x:v>5022822229402</x:v>
      </x:c>
      <x:c r="G107" t="n">
        <x:v>14</x:v>
      </x:c>
      <x:c r="H107" t="str">
        <x:v>NO - quotation only</x:v>
      </x:c>
      <x:c r="I107" t="str">
        <x:v>NO</x:v>
      </x:c>
    </x:row>
    <x:row r="108">
      <x:c r="A108" t="str">
        <x:v>IONSTEPDBIT1P12</x:v>
      </x:c>
      <x:c r="B108" t="str">
        <x:v>IONOS - step drill bit - 4-12mm - HSS4241, STEEL, HRC61-63 - titanium plating - Hanging card box - 1 pack</x:v>
      </x:c>
      <x:c r="C108" s="32" t="n">
        <x:v>1.2</x:v>
      </x:c>
      <x:c r="D108" t="n">
        <x:v>12</x:v>
      </x:c>
      <x:c r="E108" t="n">
        <x:v>1</x:v>
      </x:c>
      <x:c r="F108" t="str">
        <x:v>5022822229440</x:v>
      </x:c>
      <x:c r="G108" t="n">
        <x:v>14</x:v>
      </x:c>
      <x:c r="H108" t="str">
        <x:v>NO - quotation only</x:v>
      </x:c>
      <x:c r="I108" t="str">
        <x:v>NO</x:v>
      </x:c>
    </x:row>
    <x:row r="109">
      <x:c r="A109" t="str">
        <x:v>IONKBLADEPK10P24</x:v>
      </x:c>
      <x:c r="B109" t="str">
        <x:v>IONOS - utility knife blades - trapezoid shape - 0.5mm thick - carbon steel #60 - clam shell - 10 pack</x:v>
      </x:c>
      <x:c r="C109" s="32" t="n">
        <x:v>0.4</x:v>
      </x:c>
      <x:c r="D109" t="n">
        <x:v>24</x:v>
      </x:c>
      <x:c r="E109" t="n">
        <x:v>1</x:v>
      </x:c>
      <x:c r="F109" t="str">
        <x:v>5022822229495</x:v>
      </x:c>
      <x:c r="G109" t="n">
        <x:v>14</x:v>
      </x:c>
      <x:c r="H109" t="str">
        <x:v>NO - quotation only</x:v>
      </x:c>
      <x:c r="I109" t="str">
        <x:v>NO</x:v>
      </x:c>
    </x:row>
    <x:row r="110">
      <x:c r="A110" t="str">
        <x:v>IONPEGLASSES1P12</x:v>
      </x:c>
      <x:c r="B110" t="str">
        <x:v>IONOS - protective eye glasses - fresh plastic - OPP bag - Hanging polybag - 1 pack</x:v>
      </x:c>
      <x:c r="C110" s="32" t="n">
        <x:v>0.53</x:v>
      </x:c>
      <x:c r="D110" t="n">
        <x:v>12</x:v>
      </x:c>
      <x:c r="E110" t="n">
        <x:v>1</x:v>
      </x:c>
      <x:c r="F110" t="str">
        <x:v>5022822229549</x:v>
      </x:c>
      <x:c r="G110" t="n">
        <x:v>14</x:v>
      </x:c>
      <x:c r="H110" t="str">
        <x:v>NO - quotation only</x:v>
      </x:c>
      <x:c r="I110" t="str">
        <x:v>NO</x:v>
      </x:c>
    </x:row>
    <x:row r="111">
      <x:c r="A111" t="str">
        <x:v>ION3SFLADDER1P1</x:v>
      </x:c>
      <x:c r="B111" t="str">
        <x:v>IONOS - 3 step foldable ladder - steel + plastic - anti-slip rubber feet - 150KG max loading capacity - EN14183 standa...</x:v>
      </x:c>
      <x:c r="C111" s="32" t="n">
        <x:v>13.85</x:v>
      </x:c>
      <x:c r="D111" t="n">
        <x:v>1</x:v>
      </x:c>
      <x:c r="E111" t="n">
        <x:v>1</x:v>
      </x:c>
      <x:c r="F111" t="str">
        <x:v>5022822229709</x:v>
      </x:c>
      <x:c r="G111" t="n">
        <x:v>15</x:v>
      </x:c>
      <x:c r="H111" t="str">
        <x:v>NO - quotation only</x:v>
      </x:c>
      <x:c r="I111" t="str">
        <x:v>NO</x:v>
      </x:c>
    </x:row>
    <x:row r="112">
      <x:c r="A112" t="str">
        <x:v>IONMRULER1P24</x:v>
      </x:c>
      <x:c r="B112" t="str">
        <x:v>Metal Ruler - Stainless Steel - IONOS - 30cm (300mm x 0.5mm x 20mm) - 1pk pvc sleeve with header card</x:v>
      </x:c>
      <x:c r="C112" s="32" t="n">
        <x:v>0.46</x:v>
      </x:c>
      <x:c r="D112" t="n">
        <x:v>24</x:v>
      </x:c>
      <x:c r="E112" t="n">
        <x:v>1</x:v>
      </x:c>
      <x:c r="F112" t="str">
        <x:v>5022822228252</x:v>
      </x:c>
      <x:c r="G112" t="n">
        <x:v>15</x:v>
      </x:c>
      <x:c r="H112" t="str">
        <x:v>NO - quotation only</x:v>
      </x:c>
      <x:c r="I112" t="str">
        <x:v>NO</x:v>
      </x:c>
    </x:row>
    <x:row r="113">
      <x:c r="A113" t="str">
        <x:v>ION2GCLAMP1P12</x:v>
      </x:c>
      <x:c r="B113" t="str">
        <x:v>2" G Clamp - Steel - IONOS - 1pk Card Wrap</x:v>
      </x:c>
      <x:c r="C113" s="32" t="n">
        <x:v>0.64</x:v>
      </x:c>
      <x:c r="D113" t="n">
        <x:v>12</x:v>
      </x:c>
      <x:c r="E113" t="n">
        <x:v>1</x:v>
      </x:c>
      <x:c r="F113" t="str">
        <x:v>5022822228719</x:v>
      </x:c>
      <x:c r="G113" t="n">
        <x:v>15</x:v>
      </x:c>
      <x:c r="H113" t="str">
        <x:v>NO - quotation only</x:v>
      </x:c>
      <x:c r="I113" t="str">
        <x:v>NO</x:v>
      </x:c>
    </x:row>
    <x:row r="114">
      <x:c r="A114" t="str">
        <x:v>IONCPSTRING1P24</x:v>
      </x:c>
      <x:c r="B114" t="str">
        <x:v>Cotton String - 1pc - No. 5 - 85g - IONOS - 1pk</x:v>
      </x:c>
      <x:c r="C114" s="32" t="n">
        <x:v>0.49</x:v>
      </x:c>
      <x:c r="D114" t="n">
        <x:v>24</x:v>
      </x:c>
      <x:c r="E114" t="n">
        <x:v>1</x:v>
      </x:c>
      <x:c r="F114" t="str">
        <x:v>5022822228931</x:v>
      </x:c>
      <x:c r="G114" t="n">
        <x:v>15</x:v>
      </x:c>
      <x:c r="H114" t="str">
        <x:v>NO - quotation only</x:v>
      </x:c>
      <x:c r="I114" t="str">
        <x:v>NO</x:v>
      </x:c>
    </x:row>
    <x:row r="115">
      <x:c r="A115" t="str">
        <x:v>IONHDPPBR1P24</x:v>
      </x:c>
      <x:c r="B115" t="str">
        <x:v>Heavy Duty Rope - 260g - 9mm x 15M - blue - polypropylene - IONOS - 1pc</x:v>
      </x:c>
      <x:c r="C115" s="32" t="n">
        <x:v>1.3</x:v>
      </x:c>
      <x:c r="D115" t="n">
        <x:v>24</x:v>
      </x:c>
      <x:c r="E115" t="n">
        <x:v>1</x:v>
      </x:c>
      <x:c r="F115" t="str">
        <x:v>5022822228948</x:v>
      </x:c>
      <x:c r="G115" t="n">
        <x:v>15</x:v>
      </x:c>
      <x:c r="H115" t="str">
        <x:v>NO - quotation only</x:v>
      </x:c>
      <x:c r="I115" t="str">
        <x:v>NO</x:v>
      </x:c>
    </x:row>
    <x:row r="116">
      <x:c r="A116" t="str">
        <x:v>IONRADKEY1P24</x:v>
      </x:c>
      <x:c r="B116" t="str">
        <x:v>Radiator Key - brass - IONOS - 35x39x2mm - 1pk box</x:v>
      </x:c>
      <x:c r="C116" s="32" t="n">
        <x:v>0.55</x:v>
      </x:c>
      <x:c r="D116" t="n">
        <x:v>24</x:v>
      </x:c>
      <x:c r="E116" t="n">
        <x:v>1</x:v>
      </x:c>
      <x:c r="F116" t="str">
        <x:v>5022822228245</x:v>
      </x:c>
      <x:c r="G116" t="n">
        <x:v>15</x:v>
      </x:c>
      <x:c r="H116" t="str">
        <x:v>NO - quotation only</x:v>
      </x:c>
      <x:c r="I116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5" hidden="0" customWidth="1"/>
    <x:col min="3" max="3" width="75" hidden="0" customWidth="1"/>
  </x:cols>
  <x:sheetData>
    <x:row r="1" ht="30" customHeight="1">
      <x:c r="A1" s="3" t="str">
        <x:v>COST &amp; TECHNICAL SOURCES</x:v>
      </x:c>
      <x:c r="B1"/>
      <x:c r="C1"/>
    </x:row>
    <x:row r="3">
      <x:c r="A3" t="str">
        <x:v>Wholesale source</x:v>
      </x:c>
      <x:c r="B3" t="str">
        <x:v>Status International Quote EXP05155 dated 09 Oct 2026 (user-uploaded PDF)</x:v>
      </x:c>
      <x:c r="C3" t="str">
        <x:v>Source catalog line costs only, not live stock</x:v>
      </x:c>
    </x:row>
    <x:row r="4">
      <x:c r="A4" t="str">
        <x:v>Supabase Postgres</x:v>
      </x:c>
      <x:c r="B4" t="str">
        <x:v>https://supabase.com/pricing</x:v>
      </x:c>
      <x:c r="C4" t="str">
        <x:v>Free 500 MB, Pro starts $25</x:v>
      </x:c>
    </x:row>
    <x:row r="5">
      <x:c r="A5" t="str">
        <x:v>Neon PostgreSQL</x:v>
      </x:c>
      <x:c r="B5" t="str">
        <x:v>https://neon.com/blog/neon-free-plan-1-gb-per-project</x:v>
      </x:c>
      <x:c r="C5" t="str">
        <x:v>Free 1 GB per project in Oct 2026</x:v>
      </x:c>
    </x:row>
    <x:row r="6">
      <x:c r="A6" t="str">
        <x:v>Appwrite</x:v>
      </x:c>
      <x:c r="B6" t="str">
        <x:v>https://appwrite.io/pricing</x:v>
      </x:c>
      <x:c r="C6" t="str">
        <x:v>Free default TablesDB not Medusa Postgres</x:v>
      </x:c>
    </x:row>
    <x:row r="7">
      <x:c r="A7" t="str">
        <x:v>Turso</x:v>
      </x:c>
      <x:c r="B7" t="str">
        <x:v>https://turso.tech/pricing</x:v>
      </x:c>
      <x:c r="C7" t="str">
        <x:v>Different SQLite-oriented architecture</x:v>
      </x:c>
    </x:row>
    <x:row r="8">
      <x:c r="A8" t="str">
        <x:v>Vercel pricing</x:v>
      </x:c>
      <x:c r="B8" t="str">
        <x:v>https://vercel.com/pricing</x:v>
      </x:c>
      <x:c r="C8" t="str">
        <x:v>Pro starts $20</x:v>
      </x:c>
    </x:row>
    <x:row r="9">
      <x:c r="A9" t="str">
        <x:v>Vercel commercial terms</x:v>
      </x:c>
      <x:c r="B9" t="str">
        <x:v>https://vercel.com/legal/terms</x:v>
      </x:c>
      <x:c r="C9" t="str">
        <x:v>Hobby only personal noncommercial</x:v>
      </x:c>
    </x:row>
    <x:row r="10">
      <x:c r="A10" t="str">
        <x:v>Medusa production</x:v>
      </x:c>
      <x:c r="B10" t="str">
        <x:v>https://docs.medusajs.com/learn/deployment/general</x:v>
      </x:c>
      <x:c r="C10" t="str">
        <x:v>Node backend + Postgres + Redis</x:v>
      </x:c>
    </x:row>
    <x:row r="11">
      <x:c r="A11" t="str">
        <x:v>Stripe UK fees</x:v>
      </x:c>
      <x:c r="B11" t="str">
        <x:v>https://stripe.com/gb/pricing</x:v>
      </x:c>
      <x:c r="C11" t="str">
        <x:v>Standard UK cards 1.5% +20p</x:v>
      </x:c>
    </x:row>
    <x:row r="12">
      <x:c r="A12" t="str">
        <x:v>UK VAT</x:v>
      </x:c>
      <x:c r="B12" t="str">
        <x:v>https://www.gov.uk/how-vat-works/vat-thresholds</x:v>
      </x:c>
      <x:c r="C12" t="str">
        <x:v>Merchant VAT status must be confirmed</x:v>
      </x:c>
    </x:row>
    <x:row r="13">
      <x:c r="A13" t="str">
        <x:v>Shipping rates</x:v>
      </x:c>
      <x:c r="B13" t="str">
        <x:v>https://www.royalmail.com/prices2026</x:v>
      </x:c>
      <x:c r="C13" t="str">
        <x:v>Rates changed 5 Oct 2026; model uses supplier quote TBD</x:v>
      </x:c>
    </x:row>
  </x:sheetData>
  <x:mergeCells>
    <x:mergeCell ref="A1:C1"/>
  </x:mergeCells>
  <x:pageMargins left="0.7" right="0.7" top="0.75" bottom="0.75" header="0.3" footer="0.3"/>
</x:worksheet>
</file>